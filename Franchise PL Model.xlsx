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Summary" sheetId="1" state="visible" r:id="rId3"/>
    <sheet name="Little Caesars Location 1" sheetId="2" state="visible" r:id="rId4"/>
    <sheet name="Little Caesars Location 2" sheetId="3" state="visible" r:id="rId5"/>
    <sheet name="Little Caesars Location 3" sheetId="4" state="visible" r:id="rId6"/>
    <sheet name="Little Caesars Location 4" sheetId="5" state="visible" r:id="rId7"/>
    <sheet name="Arbys Location 1" sheetId="6" state="visible" r:id="rId8"/>
    <sheet name="Arbys Location 2" sheetId="7" state="visible" r:id="rId9"/>
    <sheet name="Arbys Location 3" sheetId="8" state="visible" r:id="rId10"/>
    <sheet name="Wingstop Location 1" sheetId="9" state="visible" r:id="rId11"/>
    <sheet name="Wingstop Location 2" sheetId="10" state="visible" r:id="rId12"/>
    <sheet name="Wingstop Location 3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<sst xmlns="http://schemas.openxmlformats.org/spreadsheetml/2006/main" count="737" uniqueCount="101">
  <si>
    <t xml:space="preserve">Multi-Brand Franchise Portfolio — Executive Summary</t>
  </si>
  <si>
    <t xml:space="preserve">  Little Caesars (4 units)  |  Arby's (3 units)  |  Wingstop (3 units)  |  FY 2025  |  USD</t>
  </si>
  <si>
    <t xml:space="preserve">Metric</t>
  </si>
  <si>
    <t xml:space="preserve">Little Caesars</t>
  </si>
  <si>
    <t xml:space="preserve">Arby's</t>
  </si>
  <si>
    <t xml:space="preserve">Wingstop</t>
  </si>
  <si>
    <t xml:space="preserve">Portfolio Total</t>
  </si>
  <si>
    <t xml:space="preserve">Total Revenue (FY)</t>
  </si>
  <si>
    <t xml:space="preserve">Total COGS</t>
  </si>
  <si>
    <t xml:space="preserve">Gross Profit</t>
  </si>
  <si>
    <t xml:space="preserve">Gross Margin %</t>
  </si>
  <si>
    <t xml:space="preserve">Total OpEx</t>
  </si>
  <si>
    <t xml:space="preserve">EBITDA</t>
  </si>
  <si>
    <t xml:space="preserve">EBITDA Margin %</t>
  </si>
  <si>
    <t xml:space="preserve">LOCATION DETAIL — ANNUAL REVENUE &amp; EBITDA</t>
  </si>
  <si>
    <t xml:space="preserve">Location</t>
  </si>
  <si>
    <t xml:space="preserve">Annual Revenue</t>
  </si>
  <si>
    <t xml:space="preserve">EBITDA Margin</t>
  </si>
  <si>
    <t xml:space="preserve">Little Caesars Location 1</t>
  </si>
  <si>
    <t xml:space="preserve">Little Caesars Location 2</t>
  </si>
  <si>
    <t xml:space="preserve">Little Caesars Location 3</t>
  </si>
  <si>
    <t xml:space="preserve">Little Caesars Location 4</t>
  </si>
  <si>
    <t xml:space="preserve">Arby's Location 1</t>
  </si>
  <si>
    <t xml:space="preserve">Arby's Location 2</t>
  </si>
  <si>
    <t xml:space="preserve">Arby's Location 3</t>
  </si>
  <si>
    <t xml:space="preserve">Wingstop Location 1</t>
  </si>
  <si>
    <t xml:space="preserve">Wingstop Location 2</t>
  </si>
  <si>
    <t xml:space="preserve">Wingstop Location 3</t>
  </si>
  <si>
    <t xml:space="preserve">KEY INSIGHTS — SEASONAL DRIVERS</t>
  </si>
  <si>
    <t xml:space="preserve">  • Little Caesars: Peaks May–Aug (summer family nights) + Feb Super Bowl + Oct Halloween. Slowest in Mar/Apr/Nov.</t>
  </si>
  <si>
    <t xml:space="preserve">  • Arby's: Most consistent brand; drive-thru efficiency keeps labor lower (~20% variable). Slight summer dip only.</t>
  </si>
  <si>
    <t xml:space="preserve">  • Wingstop: Feb Super Bowl is the highest single revenue month (+35% above avg). NFL season (Sep–Nov) sustains elevated sales.</t>
  </si>
  <si>
    <t xml:space="preserve">  • Wing commodity prices spike around Super Bowl — Feb food cost adj (+3.5%) is built into the Wingstop model.</t>
  </si>
  <si>
    <t xml:space="preserve">  • All seasonal indices are editable (yellow cells). Change any value and full P&amp;L recalculates instantly.</t>
  </si>
  <si>
    <t xml:space="preserve">Little Caesars — Location 1 | Monthly P&amp;L</t>
  </si>
  <si>
    <t xml:space="preserve">  Blue = Editable Input  |  Black = Formula  |  Green = Linked  |  Yellow = Assumption cell  |  Amber = Seasonal index</t>
  </si>
  <si>
    <t xml:space="preserve">ASSUMPTIONS</t>
  </si>
  <si>
    <t xml:space="preserve">Monthly Base Revenue ($)</t>
  </si>
  <si>
    <t xml:space="preserve">Food &amp; Beverage Cost — Base (%)</t>
  </si>
  <si>
    <t xml:space="preserve">Paper &amp; Supplies (%)</t>
  </si>
  <si>
    <t xml:space="preserve">Variable Labor (% of Revenue)</t>
  </si>
  <si>
    <t xml:space="preserve">Fixed Labor — Mgmt / Base Crew ($)</t>
  </si>
  <si>
    <t xml:space="preserve">Monthly Rent ($)</t>
  </si>
  <si>
    <t xml:space="preserve">Utilities — Base ($/mo)</t>
  </si>
  <si>
    <t xml:space="preserve">Marketing (% of Revenue)</t>
  </si>
  <si>
    <t xml:space="preserve">Misc / Other ($/mo)</t>
  </si>
  <si>
    <t xml:space="preserve">MONTHLY SEASONAL INDICES  (edit to model scenarios)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</si>
  <si>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</si>
  <si>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</si>
  <si>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</si>
  <si>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</si>
  <si>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</si>
  <si>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</si>
  <si>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</si>
  <si>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</si>
  <si>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</si>
  <si>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</si>
  <si>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</si>
  <si>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</si>
  <si>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Full Yr Avg</t>
  </si>
  <si>
    <t xml:space="preserve">Notes</t>
  </si>
  <si>
    <t xml:space="preserve">Revenue Index</t>
  </si>
  <si>
    <t xml:space="preserve">1.00=avg month. &gt;1.00=above avg revenue.</t>
  </si>
  <si>
    <t xml:space="preserve">Food Cost Adj (%)</t>
  </si>
  <si>
    <t xml:space="preserve">Added to base food %. Commodity/demand swings.</t>
  </si>
  <si>
    <t xml:space="preserve">Utility Seasonal Factor</t>
  </si>
  <si>
    <t xml:space="preserve">Multiplied by base utility $. Weather-driven.</t>
  </si>
  <si>
    <t xml:space="preserve">MONTHLY PROFIT &amp; LOSS</t>
  </si>
  <si>
    <t xml:space="preserve">Line Item</t>
  </si>
  <si>
    <t xml:space="preserve">Full Year</t>
  </si>
  <si>
    <t xml:space="preserve">% of Rev</t>
  </si>
  <si>
    <t xml:space="preserve">REVENUE</t>
  </si>
  <si>
    <t xml:space="preserve">In-Store / Counter</t>
  </si>
  <si>
    <t xml:space="preserve">Delivery / Pickup</t>
  </si>
  <si>
    <t xml:space="preserve">Catering / Online</t>
  </si>
  <si>
    <t xml:space="preserve">Total Revenue</t>
  </si>
  <si>
    <t xml:space="preserve">COST OF GOODS SOLD</t>
  </si>
  <si>
    <t xml:space="preserve">Food &amp; Beverage Cost</t>
  </si>
  <si>
    <t xml:space="preserve">Paper &amp; Supplies</t>
  </si>
  <si>
    <t xml:space="preserve">GROSS PROFIT</t>
  </si>
  <si>
    <t xml:space="preserve">OPERATING EXPENSES</t>
  </si>
  <si>
    <t xml:space="preserve">Variable Labor</t>
  </si>
  <si>
    <t xml:space="preserve">Fixed Labor (Mgmt / Base Crew)</t>
  </si>
  <si>
    <t xml:space="preserve">Rent</t>
  </si>
  <si>
    <t xml:space="preserve">Utilities</t>
  </si>
  <si>
    <t xml:space="preserve">Marketing</t>
  </si>
  <si>
    <t xml:space="preserve">Misc / Other</t>
  </si>
  <si>
    <t xml:space="preserve">NET OPERATING INCOME (EBITDA)</t>
  </si>
  <si>
    <t xml:space="preserve">NOI Margin %</t>
  </si>
  <si>
    <t xml:space="preserve">Little Caesars — Location 2 | Monthly P&amp;L</t>
  </si>
  <si>
    <t xml:space="preserve">Little Caesars — Location 3 | Monthly P&amp;L</t>
  </si>
  <si>
    <t xml:space="preserve">Little Caesars — Location 4 | Monthly P&amp;L</t>
  </si>
  <si>
    <t xml:space="preserve">Arby's — Location 1 | Monthly P&amp;L</t>
  </si>
  <si>
    <t xml:space="preserve">Drive-Thru / Dine-In</t>
  </si>
  <si>
    <t xml:space="preserve">Delivery / App Orders</t>
  </si>
  <si>
    <t xml:space="preserve">Catering</t>
  </si>
  <si>
    <t xml:space="preserve">Arby's — Location 2 | Monthly P&amp;L</t>
  </si>
  <si>
    <t xml:space="preserve">Arby's — Location 3 | Monthly P&amp;L</t>
  </si>
  <si>
    <t xml:space="preserve">Wingstop — Location 1 | Monthly P&amp;L</t>
  </si>
  <si>
    <t xml:space="preserve">Wingstop — Location 2 | Monthly P&amp;L</t>
  </si>
  <si>
    <t xml:space="preserve">Wingstop — Location 3 | Monthly P&amp;L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</si>
</sst>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%"/>
    <numFmt numFmtId="167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7B3F00"/>
      <name val="Arial"/>
      <family val="0"/>
      <charset val="1"/>
    </font>
    <font>
      <sz val="10"/>
      <color rgb="FFD354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BF3FB"/>
      </patternFill>
    </fill>
    <fill>
      <patternFill patternType="solid">
        <fgColor rgb="FFC0392B"/>
        <bgColor rgb="FFD35400"/>
      </patternFill>
    </fill>
    <fill>
      <patternFill patternType="solid">
        <fgColor rgb="FF7B3F00"/>
        <bgColor rgb="FF993366"/>
      </patternFill>
    </fill>
    <fill>
      <patternFill patternType="solid">
        <fgColor rgb="FFD35400"/>
        <bgColor rgb="FFC0392B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EBF3FB"/>
        <bgColor rgb="FFF2F2F2"/>
      </patternFill>
    </fill>
    <fill>
      <patternFill patternType="solid">
        <fgColor rgb="FF2E5FA3"/>
        <bgColor rgb="FF3366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medium">
        <color rgb="FF2E5F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392B"/>
      <rgbColor rgb="FFFFF2CC"/>
      <rgbColor rgb="FFEBF3FB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35400"/>
      <rgbColor rgb="FF666666"/>
      <rgbColor rgb="FFAAAAAA"/>
      <rgbColor rgb="FF1F3864"/>
      <rgbColor rgb="FF339966"/>
      <rgbColor rgb="FF003300"/>
      <rgbColor rgb="FF333300"/>
      <rgbColor rgb="FF7B3F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3" customFormat="false" ht="9.75" hidden="false" customHeight="true" outlineLevel="0" collapsed="false"/>
    <row r="4" customFormat="false" ht="18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</row>
    <row r="5" customFormat="false" ht="19.5" hidden="false" customHeight="true" outlineLevel="0" collapsed="false">
      <c r="A5" s="8" t="s">
        <v>7</v>
      </c>
      <c r="B5" s="9" t="n">
        <f aca="false">('Little Caesars Location 1'!O26+'Little Caesars Location 2'!O26+'Little Caesars Location 3'!O26+'Little Caesars Location 4'!O26)</f>
        <v>2916000</v>
      </c>
      <c r="C5" s="9" t="n">
        <f aca="false">('Arbys Location 1'!O26+'Arbys Location 2'!O26+'Arbys Location 3'!O26)</f>
        <v>2652000</v>
      </c>
      <c r="D5" s="9" t="n">
        <f aca="false">('Wingstop Location 1'!O26+'Wingstop Location 2'!O26+'Wingstop Location 3'!O26)</f>
        <v>2928000</v>
      </c>
      <c r="E5" s="10" t="n">
        <f aca="false">('Little Caesars Location 1'!O26+'Little Caesars Location 2'!O26+'Little Caesars Location 3'!O26+'Little Caesars Location 4'!O26+'Arbys Location 1'!O26+'Arbys Location 2'!O26+'Arbys Location 3'!O26+'Wingstop Location 1'!O26+'Wingstop Location 2'!O26+'Wingstop Location 3'!O26)</f>
        <v>8496000</v>
      </c>
    </row>
    <row r="6" customFormat="false" ht="19.5" hidden="false" customHeight="true" outlineLevel="0" collapsed="false">
      <c r="A6" s="11" t="s">
        <v>8</v>
      </c>
      <c r="B6" s="12" t="n">
        <f aca="false">('Little Caesars Location 1'!O31+'Little Caesars Location 2'!O31+'Little Caesars Location 3'!O31+'Little Caesars Location 4'!O31)</f>
        <v>858373.2</v>
      </c>
      <c r="C6" s="12" t="n">
        <f aca="false">('Arbys Location 1'!O31+'Arbys Location 2'!O31+'Arbys Location 3'!O31)</f>
        <v>852542.86</v>
      </c>
      <c r="D6" s="12" t="n">
        <f aca="false">('Wingstop Location 1'!O31+'Wingstop Location 2'!O31+'Wingstop Location 3'!O31)</f>
        <v>1049700.2</v>
      </c>
      <c r="E6" s="13" t="n">
        <f aca="false">('Little Caesars Location 1'!O31+'Little Caesars Location 2'!O31+'Little Caesars Location 3'!O31+'Little Caesars Location 4'!O31+'Arbys Location 1'!O31+'Arbys Location 2'!O31+'Arbys Location 3'!O31+'Wingstop Location 1'!O31+'Wingstop Location 2'!O31+'Wingstop Location 3'!O31)</f>
        <v>2760616.26</v>
      </c>
    </row>
    <row r="7" customFormat="false" ht="19.5" hidden="false" customHeight="true" outlineLevel="0" collapsed="false">
      <c r="A7" s="8" t="s">
        <v>9</v>
      </c>
      <c r="B7" s="9" t="n">
        <f aca="false">('Little Caesars Location 1'!O33+'Little Caesars Location 2'!O33+'Little Caesars Location 3'!O33+'Little Caesars Location 4'!O33)</f>
        <v>2057626.8</v>
      </c>
      <c r="C7" s="9" t="n">
        <f aca="false">('Arbys Location 1'!O33+'Arbys Location 2'!O33+'Arbys Location 3'!O33)</f>
        <v>1799457.14</v>
      </c>
      <c r="D7" s="9" t="n">
        <f aca="false">('Wingstop Location 1'!O33+'Wingstop Location 2'!O33+'Wingstop Location 3'!O33)</f>
        <v>1878299.8</v>
      </c>
      <c r="E7" s="10" t="n">
        <f aca="false">('Little Caesars Location 1'!O33+'Little Caesars Location 2'!O33+'Little Caesars Location 3'!O33+'Little Caesars Location 4'!O33+'Arbys Location 1'!O33+'Arbys Location 2'!O33+'Arbys Location 3'!O33+'Wingstop Location 1'!O33+'Wingstop Location 2'!O33+'Wingstop Location 3'!O33)</f>
        <v>5735383.74</v>
      </c>
    </row>
    <row r="8" customFormat="false" ht="19.5" hidden="false" customHeight="true" outlineLevel="0" collapsed="false">
      <c r="A8" s="11" t="s">
        <v>10</v>
      </c>
      <c r="B8" s="14" t="n">
        <f aca="false">IF(('Little Caesars Location 1'!O26+'Little Caesars Location 2'!O26+'Little Caesars Location 3'!O26+'Little Caesars Location 4'!O26)=0,0,('Little Caesars Location 1'!O33+'Little Caesars Location 2'!O33+'Little Caesars Location 3'!O33+'Little Caesars Location 4'!O33)/('Little Caesars Location 1'!O26+'Little Caesars Location 2'!O26+'Little Caesars Location 3'!O26+'Little Caesars Location 4'!O26))</f>
        <v>0.705633333333333</v>
      </c>
      <c r="C8" s="14" t="n">
        <f aca="false">IF(('Arbys Location 1'!O26+'Arbys Location 2'!O26+'Arbys Location 3'!O26)=0,0,('Arbys Location 1'!O33+'Arbys Location 2'!O33+'Arbys Location 3'!O33)/('Arbys Location 1'!O26+'Arbys Location 2'!O26+'Arbys Location 3'!O26))</f>
        <v>0.678528333333333</v>
      </c>
      <c r="D8" s="14" t="n">
        <f aca="false">IF(('Wingstop Location 1'!O26+'Wingstop Location 2'!O26+'Wingstop Location 3'!O26)=0,0,('Wingstop Location 1'!O33+'Wingstop Location 2'!O33+'Wingstop Location 3'!O33)/('Wingstop Location 1'!O26+'Wingstop Location 2'!O26+'Wingstop Location 3'!O26))</f>
        <v>0.641495833333333</v>
      </c>
      <c r="E8" s="15" t="n">
        <f aca="false">IF(('Little Caesars Location 1'!O26+'Little Caesars Location 2'!O26+'Little Caesars Location 3'!O26+'Little Caesars Location 4'!O26+'Arbys Location 1'!O26+'Arbys Location 2'!O26+'Arbys Location 3'!O26+'Wingstop Location 1'!O26+'Wingstop Location 2'!O26+'Wingstop Location 3'!O26)=0,0,('Little Caesars Location 1'!O33+'Little Caesars Location 2'!O33+'Little Caesars Location 3'!O33+'Little Caesars Location 4'!O33+'Arbys Location 1'!O33+'Arbys Location 2'!O33+'Arbys Location 3'!O33+'Wingstop Location 1'!O33+'Wingstop Location 2'!O33+'Wingstop Location 3'!O33)/('Little Caesars Location 1'!O26+'Little Caesars Location 2'!O26+'Little Caesars Location 3'!O26+'Little Caesars Location 4'!O26+'Arbys Location 1'!O26+'Arbys Location 2'!O26+'Arbys Location 3'!O26+'Wingstop Location 1'!O26+'Wingstop Location 2'!O26+'Wingstop Location 3'!O26))</f>
        <v>0.675068707627119</v>
      </c>
    </row>
    <row r="9" customFormat="false" ht="19.5" hidden="false" customHeight="true" outlineLevel="0" collapsed="false">
      <c r="A9" s="16" t="s">
        <v>11</v>
      </c>
      <c r="B9" s="17" t="n">
        <f aca="false">('Little Caesars Location 1'!O43+'Little Caesars Location 2'!O43+'Little Caesars Location 3'!O43+'Little Caesars Location 4'!O43)</f>
        <v>1275204</v>
      </c>
      <c r="C9" s="17" t="n">
        <f aca="false">('Arbys Location 1'!O43+'Arbys Location 2'!O43+'Arbys Location 3'!O43)</f>
        <v>1113102</v>
      </c>
      <c r="D9" s="17" t="n">
        <f aca="false">('Wingstop Location 1'!O43+'Wingstop Location 2'!O43+'Wingstop Location 3'!O43)</f>
        <v>1160130</v>
      </c>
      <c r="E9" s="13" t="n">
        <f aca="false">('Little Caesars Location 1'!O43+'Little Caesars Location 2'!O43+'Little Caesars Location 3'!O43+'Little Caesars Location 4'!O43+'Arbys Location 1'!O43+'Arbys Location 2'!O43+'Arbys Location 3'!O43+'Wingstop Location 1'!O43+'Wingstop Location 2'!O43+'Wingstop Location 3'!O43)</f>
        <v>3548436</v>
      </c>
    </row>
    <row r="10" customFormat="false" ht="19.5" hidden="false" customHeight="true" outlineLevel="0" collapsed="false">
      <c r="A10" s="8" t="s">
        <v>12</v>
      </c>
      <c r="B10" s="9" t="n">
        <f aca="false">('Little Caesars Location 1'!O45+'Little Caesars Location 2'!O45+'Little Caesars Location 3'!O45+'Little Caesars Location 4'!O45)</f>
        <v>782422.8</v>
      </c>
      <c r="C10" s="9" t="n">
        <f aca="false">('Arbys Location 1'!O45+'Arbys Location 2'!O45+'Arbys Location 3'!O45)</f>
        <v>686355.14</v>
      </c>
      <c r="D10" s="9" t="n">
        <f aca="false">('Wingstop Location 1'!O45+'Wingstop Location 2'!O45+'Wingstop Location 3'!O45)</f>
        <v>718169.8</v>
      </c>
      <c r="E10" s="10" t="n">
        <f aca="false">('Little Caesars Location 1'!O45+'Little Caesars Location 2'!O45+'Little Caesars Location 3'!O45+'Little Caesars Location 4'!O45+'Arbys Location 1'!O45+'Arbys Location 2'!O45+'Arbys Location 3'!O45+'Wingstop Location 1'!O45+'Wingstop Location 2'!O45+'Wingstop Location 3'!O45)</f>
        <v>2186947.74</v>
      </c>
    </row>
    <row r="11" customFormat="false" ht="19.5" hidden="false" customHeight="true" outlineLevel="0" collapsed="false">
      <c r="A11" s="16" t="s">
        <v>13</v>
      </c>
      <c r="B11" s="18" t="n">
        <f aca="false">IF(('Little Caesars Location 1'!O26+'Little Caesars Location 2'!O26+'Little Caesars Location 3'!O26+'Little Caesars Location 4'!O26)=0,0,('Little Caesars Location 1'!O45+'Little Caesars Location 2'!O45+'Little Caesars Location 3'!O45+'Little Caesars Location 4'!O45)/('Little Caesars Location 1'!O26+'Little Caesars Location 2'!O26+'Little Caesars Location 3'!O26+'Little Caesars Location 4'!O26))</f>
        <v>0.268320576131687</v>
      </c>
      <c r="C11" s="18" t="n">
        <f aca="false">IF(('Arbys Location 1'!O26+'Arbys Location 2'!O26+'Arbys Location 3'!O26)=0,0,('Arbys Location 1'!O45+'Arbys Location 2'!O45+'Arbys Location 3'!O45)/('Arbys Location 1'!O26+'Arbys Location 2'!O26+'Arbys Location 3'!O26))</f>
        <v>0.25880661387632</v>
      </c>
      <c r="D11" s="18" t="n">
        <f aca="false">IF(('Wingstop Location 1'!O26+'Wingstop Location 2'!O26+'Wingstop Location 3'!O26)=0,0,('Wingstop Location 1'!O45+'Wingstop Location 2'!O45+'Wingstop Location 3'!O45)/('Wingstop Location 1'!O26+'Wingstop Location 2'!O26+'Wingstop Location 3'!O26))</f>
        <v>0.245276571038251</v>
      </c>
      <c r="E11" s="15" t="n">
        <f aca="false">IF(('Little Caesars Location 1'!O26+'Little Caesars Location 2'!O26+'Little Caesars Location 3'!O26+'Little Caesars Location 4'!O26+'Arbys Location 1'!O26+'Arbys Location 2'!O26+'Arbys Location 3'!O26+'Wingstop Location 1'!O26+'Wingstop Location 2'!O26+'Wingstop Location 3'!O26)=0,0,('Little Caesars Location 1'!O45+'Little Caesars Location 2'!O45+'Little Caesars Location 3'!O45+'Little Caesars Location 4'!O45+'Arbys Location 1'!O45+'Arbys Location 2'!O45+'Arbys Location 3'!O45+'Wingstop Location 1'!O45+'Wingstop Location 2'!O45+'Wingstop Location 3'!O45)/('Little Caesars Location 1'!O26+'Little Caesars Location 2'!O26+'Little Caesars Location 3'!O26+'Little Caesars Location 4'!O26+'Arbys Location 1'!O26+'Arbys Location 2'!O26+'Arbys Location 3'!O26+'Wingstop Location 1'!O26+'Wingstop Location 2'!O26+'Wingstop Location 3'!O26))</f>
        <v>0.257409103107345</v>
      </c>
    </row>
    <row r="13" customFormat="false" ht="9.75" hidden="false" customHeight="true" outlineLevel="0" collapsed="false"/>
    <row r="14" customFormat="false" ht="18" hidden="false" customHeight="true" outlineLevel="0" collapsed="false">
      <c r="A14" s="19" t="s">
        <v>14</v>
      </c>
      <c r="B14" s="19"/>
      <c r="C14" s="19"/>
      <c r="D14" s="19"/>
      <c r="E14" s="19"/>
    </row>
    <row r="15" customFormat="false" ht="16.5" hidden="false" customHeight="true" outlineLevel="0" collapsed="false">
      <c r="A15" s="20" t="s">
        <v>15</v>
      </c>
      <c r="B15" s="21" t="s">
        <v>16</v>
      </c>
      <c r="C15" s="21" t="s">
        <v>9</v>
      </c>
      <c r="D15" s="21" t="s">
        <v>12</v>
      </c>
      <c r="E15" s="21" t="s">
        <v>17</v>
      </c>
    </row>
    <row r="16" customFormat="false" ht="16.5" hidden="false" customHeight="true" outlineLevel="0" collapsed="false">
      <c r="A16" s="22" t="s">
        <v>18</v>
      </c>
      <c r="B16" s="17" t="n">
        <f aca="false">'Little Caesars Location 1'!O26</f>
        <v>720000</v>
      </c>
      <c r="C16" s="17" t="n">
        <f aca="false">'Little Caesars Location 1'!O33</f>
        <v>508056</v>
      </c>
      <c r="D16" s="17" t="n">
        <f aca="false">'Little Caesars Location 1'!O45</f>
        <v>193095</v>
      </c>
      <c r="E16" s="23" t="n">
        <f aca="false">IF(B16=0,0,D16/B16)</f>
        <v>0.2681875</v>
      </c>
    </row>
    <row r="17" customFormat="false" ht="16.5" hidden="false" customHeight="true" outlineLevel="0" collapsed="false">
      <c r="A17" s="24" t="s">
        <v>19</v>
      </c>
      <c r="B17" s="12" t="n">
        <f aca="false">'Little Caesars Location 2'!O26</f>
        <v>756000</v>
      </c>
      <c r="C17" s="12" t="n">
        <f aca="false">'Little Caesars Location 2'!O33</f>
        <v>533458.8</v>
      </c>
      <c r="D17" s="12" t="n">
        <f aca="false">'Little Caesars Location 2'!O45</f>
        <v>206737.8</v>
      </c>
      <c r="E17" s="25" t="n">
        <f aca="false">IF(B17=0,0,D17/B17)</f>
        <v>0.273462698412698</v>
      </c>
    </row>
    <row r="18" customFormat="false" ht="16.5" hidden="false" customHeight="true" outlineLevel="0" collapsed="false">
      <c r="A18" s="22" t="s">
        <v>20</v>
      </c>
      <c r="B18" s="17" t="n">
        <f aca="false">'Little Caesars Location 3'!O26</f>
        <v>696000</v>
      </c>
      <c r="C18" s="17" t="n">
        <f aca="false">'Little Caesars Location 3'!O33</f>
        <v>491120.8</v>
      </c>
      <c r="D18" s="17" t="n">
        <f aca="false">'Little Caesars Location 3'!O45</f>
        <v>183599.8</v>
      </c>
      <c r="E18" s="23" t="n">
        <f aca="false">IF(B18=0,0,D18/B18)</f>
        <v>0.263792816091954</v>
      </c>
    </row>
    <row r="19" customFormat="false" ht="16.5" hidden="false" customHeight="true" outlineLevel="0" collapsed="false">
      <c r="A19" s="24" t="s">
        <v>21</v>
      </c>
      <c r="B19" s="12" t="n">
        <f aca="false">'Little Caesars Location 4'!O26</f>
        <v>744000</v>
      </c>
      <c r="C19" s="12" t="n">
        <f aca="false">'Little Caesars Location 4'!O33</f>
        <v>524991.2</v>
      </c>
      <c r="D19" s="12" t="n">
        <f aca="false">'Little Caesars Location 4'!O45</f>
        <v>198990.2</v>
      </c>
      <c r="E19" s="25" t="n">
        <f aca="false">IF(B19=0,0,D19/B19)</f>
        <v>0.267459946236559</v>
      </c>
    </row>
    <row r="20" customFormat="false" ht="16.5" hidden="false" customHeight="true" outlineLevel="0" collapsed="false">
      <c r="A20" s="26" t="s">
        <v>22</v>
      </c>
      <c r="B20" s="17" t="n">
        <f aca="false">'Arbys Location 1'!O26</f>
        <v>900000</v>
      </c>
      <c r="C20" s="17" t="n">
        <f aca="false">'Arbys Location 1'!O33</f>
        <v>610675.5</v>
      </c>
      <c r="D20" s="17" t="n">
        <f aca="false">'Arbys Location 1'!O45</f>
        <v>235561.5</v>
      </c>
      <c r="E20" s="23" t="n">
        <f aca="false">IF(B20=0,0,D20/B20)</f>
        <v>0.261735</v>
      </c>
    </row>
    <row r="21" customFormat="false" ht="16.5" hidden="false" customHeight="true" outlineLevel="0" collapsed="false">
      <c r="A21" s="27" t="s">
        <v>23</v>
      </c>
      <c r="B21" s="12" t="n">
        <f aca="false">'Arbys Location 2'!O26</f>
        <v>864000</v>
      </c>
      <c r="C21" s="12" t="n">
        <f aca="false">'Arbys Location 2'!O33</f>
        <v>586248.48</v>
      </c>
      <c r="D21" s="12" t="n">
        <f aca="false">'Arbys Location 2'!O45</f>
        <v>223014.48</v>
      </c>
      <c r="E21" s="25" t="n">
        <f aca="false">IF(B21=0,0,D21/B21)</f>
        <v>0.258118611111111</v>
      </c>
    </row>
    <row r="22" customFormat="false" ht="16.5" hidden="false" customHeight="true" outlineLevel="0" collapsed="false">
      <c r="A22" s="26" t="s">
        <v>24</v>
      </c>
      <c r="B22" s="17" t="n">
        <f aca="false">'Arbys Location 3'!O26</f>
        <v>888000</v>
      </c>
      <c r="C22" s="17" t="n">
        <f aca="false">'Arbys Location 3'!O33</f>
        <v>602533.16</v>
      </c>
      <c r="D22" s="17" t="n">
        <f aca="false">'Arbys Location 3'!O45</f>
        <v>227779.16</v>
      </c>
      <c r="E22" s="23" t="n">
        <f aca="false">IF(B22=0,0,D22/B22)</f>
        <v>0.256508063063063</v>
      </c>
    </row>
    <row r="23" customFormat="false" ht="16.5" hidden="false" customHeight="true" outlineLevel="0" collapsed="false">
      <c r="A23" s="28" t="s">
        <v>25</v>
      </c>
      <c r="B23" s="12" t="n">
        <f aca="false">'Wingstop Location 1'!O26</f>
        <v>984000</v>
      </c>
      <c r="C23" s="12" t="n">
        <f aca="false">'Wingstop Location 1'!O33</f>
        <v>631231.9</v>
      </c>
      <c r="D23" s="12" t="n">
        <f aca="false">'Wingstop Location 1'!O45</f>
        <v>244921.9</v>
      </c>
      <c r="E23" s="25" t="n">
        <f aca="false">IF(B23=0,0,D23/B23)</f>
        <v>0.248904369918699</v>
      </c>
    </row>
    <row r="24" customFormat="false" ht="16.5" hidden="false" customHeight="true" outlineLevel="0" collapsed="false">
      <c r="A24" s="29" t="s">
        <v>26</v>
      </c>
      <c r="B24" s="17" t="n">
        <f aca="false">'Wingstop Location 2'!O26</f>
        <v>960000</v>
      </c>
      <c r="C24" s="17" t="n">
        <f aca="false">'Wingstop Location 2'!O33</f>
        <v>615836</v>
      </c>
      <c r="D24" s="17" t="n">
        <f aca="false">'Wingstop Location 2'!O45</f>
        <v>233126</v>
      </c>
      <c r="E24" s="23" t="n">
        <f aca="false">IF(B24=0,0,D24/B24)</f>
        <v>0.242839583333333</v>
      </c>
    </row>
    <row r="25" customFormat="false" ht="16.5" hidden="false" customHeight="true" outlineLevel="0" collapsed="false">
      <c r="A25" s="28" t="s">
        <v>27</v>
      </c>
      <c r="B25" s="12" t="n">
        <f aca="false">'Wingstop Location 3'!O26</f>
        <v>984000</v>
      </c>
      <c r="C25" s="12" t="n">
        <f aca="false">'Wingstop Location 3'!O33</f>
        <v>631231.9</v>
      </c>
      <c r="D25" s="12" t="n">
        <f aca="false">'Wingstop Location 3'!O45</f>
        <v>240121.9</v>
      </c>
      <c r="E25" s="25" t="n">
        <f aca="false">IF(B25=0,0,D25/B25)</f>
        <v>0.244026321138211</v>
      </c>
    </row>
    <row r="26" customFormat="false" ht="19.5" hidden="false" customHeight="true" outlineLevel="0" collapsed="false">
      <c r="A26" s="3" t="s">
        <v>6</v>
      </c>
      <c r="B26" s="10" t="n">
        <f aca="false">SUM(B16:B25)</f>
        <v>8496000</v>
      </c>
      <c r="C26" s="10" t="n">
        <f aca="false">SUM(C16:C25)</f>
        <v>5735383.74</v>
      </c>
      <c r="D26" s="10" t="n">
        <f aca="false">SUM(D16:D25)</f>
        <v>2186947.74</v>
      </c>
      <c r="E26" s="30" t="n">
        <f aca="false">IF(B26=0,0,D26/B26)</f>
        <v>0.257409103107345</v>
      </c>
    </row>
    <row r="27" customFormat="false" ht="9.75" hidden="false" customHeight="true" outlineLevel="0" collapsed="false"/>
    <row r="28" customFormat="false" ht="18" hidden="false" customHeight="true" outlineLevel="0" collapsed="false">
      <c r="A28" s="19" t="s">
        <v>28</v>
      </c>
      <c r="B28" s="19"/>
      <c r="C28" s="19"/>
      <c r="D28" s="19"/>
      <c r="E28" s="19"/>
    </row>
    <row r="29" customFormat="false" ht="16.5" hidden="false" customHeight="true" outlineLevel="0" collapsed="false">
      <c r="A29" s="31" t="s">
        <v>29</v>
      </c>
      <c r="B29" s="31"/>
      <c r="C29" s="31"/>
      <c r="D29" s="31"/>
      <c r="E29" s="31"/>
    </row>
    <row r="30" customFormat="false" ht="16.5" hidden="false" customHeight="true" outlineLevel="0" collapsed="false">
      <c r="A30" s="32" t="s">
        <v>30</v>
      </c>
      <c r="B30" s="32"/>
      <c r="C30" s="32"/>
      <c r="D30" s="32"/>
      <c r="E30" s="32"/>
    </row>
    <row r="31" customFormat="false" ht="16.5" hidden="false" customHeight="true" outlineLevel="0" collapsed="false">
      <c r="A31" s="31" t="s">
        <v>31</v>
      </c>
      <c r="B31" s="31"/>
      <c r="C31" s="31"/>
      <c r="D31" s="31"/>
      <c r="E31" s="31"/>
    </row>
    <row r="32" customFormat="false" ht="16.5" hidden="false" customHeight="true" outlineLevel="0" collapsed="false">
      <c r="A32" s="32" t="s">
        <v>32</v>
      </c>
      <c r="B32" s="32"/>
      <c r="C32" s="32"/>
      <c r="D32" s="32"/>
      <c r="E32" s="32"/>
    </row>
    <row r="33" customFormat="false" ht="16.5" hidden="false" customHeight="true" outlineLevel="0" collapsed="false">
      <c r="A33" s="31" t="s">
        <v>33</v>
      </c>
      <c r="B33" s="31"/>
      <c r="C33" s="31"/>
      <c r="D33" s="31"/>
      <c r="E33" s="31"/>
    </row>
  </sheetData>
  <mergeCells count="9">
    <mergeCell ref="A1:E1"/>
    <mergeCell ref="A2:E2"/>
    <mergeCell ref="A14:E14"/>
    <mergeCell ref="A28:E28"/>
    <mergeCell ref="A29:E29"/>
    <mergeCell ref="A30:E30"/>
    <mergeCell ref="A31:E31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14" min="2" style="0" width="10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27.75" hidden="false" customHeight="true" outlineLevel="0" collapsed="false">
      <c r="A1" s="33" t="s">
        <v>34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1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19" t="s">
        <v>36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customFormat="false" ht="16.5" hidden="false" customHeight="true" outlineLevel="0" collapsed="false">
      <c r="A4" s="16" t="s">
        <v>37</v>
      </c>
      <c r="B4" s="34" t="n">
        <v>60000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customFormat="false" ht="16.5" hidden="false" customHeight="true" outlineLevel="0" collapsed="false">
      <c r="A5" s="11" t="s">
        <v>38</v>
      </c>
      <c r="B5" s="36" t="n">
        <v>0.27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customFormat="false" ht="16.5" hidden="false" customHeight="true" outlineLevel="0" collapsed="false">
      <c r="A6" s="16" t="s">
        <v>39</v>
      </c>
      <c r="B6" s="36" t="n">
        <v>0.02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customFormat="false" ht="16.5" hidden="false" customHeight="true" outlineLevel="0" collapsed="false">
      <c r="A7" s="11" t="s">
        <v>40</v>
      </c>
      <c r="B7" s="36" t="n">
        <v>0.22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customFormat="false" ht="16.5" hidden="false" customHeight="true" outlineLevel="0" collapsed="false">
      <c r="A8" s="16" t="s">
        <v>41</v>
      </c>
      <c r="B8" s="34" t="n">
        <v>3500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customFormat="false" ht="16.5" hidden="false" customHeight="true" outlineLevel="0" collapsed="false">
      <c r="A9" s="11" t="s">
        <v>42</v>
      </c>
      <c r="B9" s="34" t="n">
        <v>5600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customFormat="false" ht="16.5" hidden="false" customHeight="true" outlineLevel="0" collapsed="false">
      <c r="A10" s="16" t="s">
        <v>43</v>
      </c>
      <c r="B10" s="34" t="n">
        <v>1100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customFormat="false" ht="16.5" hidden="false" customHeight="true" outlineLevel="0" collapsed="false">
      <c r="A11" s="11" t="s">
        <v>44</v>
      </c>
      <c r="B11" s="36" t="n">
        <v>0.04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customFormat="false" ht="16.5" hidden="false" customHeight="true" outlineLevel="0" collapsed="false">
      <c r="A12" s="16" t="s">
        <v>45</v>
      </c>
      <c r="B12" s="34" t="n">
        <v>400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customFormat="false" ht="7.5" hidden="false" customHeight="true" outlineLevel="0" collapsed="false"/>
    <row r="14" customFormat="false" ht="18" hidden="false" customHeight="true" outlineLevel="0" collapsed="false">
      <c r="A14" s="19" t="s">
        <v>46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customFormat="false" ht="15.75" hidden="false" customHeight="true" outlineLevel="0" collapsed="false">
      <c r="A15" s="38"/>
      <c r="B15" s="39" t="s">
        <v>47</v>
      </c>
      <c r="C15" s="39" t="s">
        <v>48</v>
      </c>
      <c r="D15" s="39" t="s">
        <v>49</v>
      </c>
      <c r="E15" s="39" t="s">
        <v>50</v>
      </c>
      <c r="F15" s="39" t="s">
        <v>51</v>
      </c>
      <c r="G15" s="39" t="s">
        <v>52</v>
      </c>
      <c r="H15" s="39" t="s">
        <v>53</v>
      </c>
      <c r="I15" s="39" t="s">
        <v>54</v>
      </c>
      <c r="J15" s="39" t="s">
        <v>55</v>
      </c>
      <c r="K15" s="39" t="s">
        <v>56</v>
      </c>
      <c r="L15" s="39" t="s">
        <v>57</v>
      </c>
      <c r="M15" s="39" t="s">
        <v>58</v>
      </c>
      <c r="O15" s="40" t="s">
        <v>59</v>
      </c>
      <c r="P15" s="40" t="s">
        <v>60</v>
      </c>
    </row>
    <row r="16" customFormat="false" ht="16.5" hidden="false" customHeight="true" outlineLevel="0" collapsed="false">
      <c r="A16" s="16" t="s">
        <v>61</v>
      </c>
      <c r="B16" s="41" t="n">
        <v>1</v>
      </c>
      <c r="C16" s="41" t="n">
        <v>1.12</v>
      </c>
      <c r="D16" s="41" t="n">
        <v>0.82</v>
      </c>
      <c r="E16" s="41" t="n">
        <v>0.85</v>
      </c>
      <c r="F16" s="41" t="n">
        <v>1.08</v>
      </c>
      <c r="G16" s="41" t="n">
        <v>1.18</v>
      </c>
      <c r="H16" s="41" t="n">
        <v>1.22</v>
      </c>
      <c r="I16" s="41" t="n">
        <v>1.15</v>
      </c>
      <c r="J16" s="41" t="n">
        <v>0.88</v>
      </c>
      <c r="K16" s="41" t="n">
        <v>1.05</v>
      </c>
      <c r="L16" s="41" t="n">
        <v>0.82</v>
      </c>
      <c r="M16" s="41" t="n">
        <v>0.83</v>
      </c>
      <c r="O16" s="42" t="n">
        <f aca="false">AVERAGE(B16:M16)</f>
        <v>1</v>
      </c>
      <c r="P16" s="43" t="s">
        <v>62</v>
      </c>
    </row>
    <row r="17" customFormat="false" ht="16.5" hidden="false" customHeight="true" outlineLevel="0" collapsed="false">
      <c r="A17" s="44" t="s">
        <v>63</v>
      </c>
      <c r="B17" s="45" t="n">
        <v>0</v>
      </c>
      <c r="C17" s="45" t="n">
        <v>0</v>
      </c>
      <c r="D17" s="45" t="n">
        <v>0</v>
      </c>
      <c r="E17" s="45" t="n">
        <v>0</v>
      </c>
      <c r="F17" s="45" t="n">
        <v>0.01</v>
      </c>
      <c r="G17" s="45" t="n">
        <v>0.01</v>
      </c>
      <c r="H17" s="45" t="n">
        <v>0.015</v>
      </c>
      <c r="I17" s="45" t="n">
        <v>0.01</v>
      </c>
      <c r="J17" s="45" t="n">
        <v>0</v>
      </c>
      <c r="K17" s="45" t="n">
        <v>0</v>
      </c>
      <c r="L17" s="45" t="n">
        <v>0</v>
      </c>
      <c r="M17" s="45" t="n">
        <v>0</v>
      </c>
      <c r="O17" s="46" t="n">
        <f aca="false">AVERAGE(B17:M17)</f>
        <v>0.00375</v>
      </c>
      <c r="P17" s="47" t="s">
        <v>64</v>
      </c>
    </row>
    <row r="18" customFormat="false" ht="16.5" hidden="false" customHeight="true" outlineLevel="0" collapsed="false">
      <c r="A18" s="16" t="s">
        <v>65</v>
      </c>
      <c r="B18" s="41" t="n">
        <v>1.15</v>
      </c>
      <c r="C18" s="41" t="n">
        <v>1.15</v>
      </c>
      <c r="D18" s="41" t="n">
        <v>1</v>
      </c>
      <c r="E18" s="41" t="n">
        <v>0.9</v>
      </c>
      <c r="F18" s="41" t="n">
        <v>0.95</v>
      </c>
      <c r="G18" s="41" t="n">
        <v>1.05</v>
      </c>
      <c r="H18" s="41" t="n">
        <v>1.18</v>
      </c>
      <c r="I18" s="41" t="n">
        <v>1.18</v>
      </c>
      <c r="J18" s="41" t="n">
        <v>0.95</v>
      </c>
      <c r="K18" s="41" t="n">
        <v>0.9</v>
      </c>
      <c r="L18" s="41" t="n">
        <v>1</v>
      </c>
      <c r="M18" s="41" t="n">
        <v>1.1</v>
      </c>
      <c r="O18" s="42" t="n">
        <f aca="false">AVERAGE(B18:M18)</f>
        <v>1.0425</v>
      </c>
      <c r="P18" s="43" t="s">
        <v>66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19" t="s">
        <v>67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customFormat="false" ht="18" hidden="false" customHeight="true" outlineLevel="0" collapsed="false">
      <c r="A21" s="20" t="s">
        <v>68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52</v>
      </c>
      <c r="H21" s="21" t="s">
        <v>53</v>
      </c>
      <c r="I21" s="21" t="s">
        <v>54</v>
      </c>
      <c r="J21" s="21" t="s">
        <v>55</v>
      </c>
      <c r="K21" s="21" t="s">
        <v>56</v>
      </c>
      <c r="L21" s="21" t="s">
        <v>57</v>
      </c>
      <c r="M21" s="21" t="s">
        <v>58</v>
      </c>
      <c r="N21" s="7" t="s">
        <v>69</v>
      </c>
      <c r="O21" s="7" t="s">
        <v>70</v>
      </c>
    </row>
    <row r="22" customFormat="false" ht="16.5" hidden="false" customHeight="true" outlineLevel="0" collapsed="false">
      <c r="A22" s="48" t="s">
        <v>71</v>
      </c>
      <c r="O22" s="49"/>
      <c r="P22" s="49"/>
    </row>
    <row r="23" customFormat="false" ht="16.5" hidden="false" customHeight="true" outlineLevel="0" collapsed="false">
      <c r="A23" s="11" t="s">
        <v>72</v>
      </c>
      <c r="B23" s="50" t="n">
        <f aca="false">$B$4*B$16*0.35</f>
        <v>21000</v>
      </c>
      <c r="C23" s="50" t="n">
        <f aca="false">$B$4*C$16*0.35</f>
        <v>23520</v>
      </c>
      <c r="D23" s="50" t="n">
        <f aca="false">$B$4*D$16*0.35</f>
        <v>17220</v>
      </c>
      <c r="E23" s="50" t="n">
        <f aca="false">$B$4*E$16*0.35</f>
        <v>17850</v>
      </c>
      <c r="F23" s="50" t="n">
        <f aca="false">$B$4*F$16*0.35</f>
        <v>22680</v>
      </c>
      <c r="G23" s="50" t="n">
        <f aca="false">$B$4*G$16*0.35</f>
        <v>24780</v>
      </c>
      <c r="H23" s="50" t="n">
        <f aca="false">$B$4*H$16*0.35</f>
        <v>25620</v>
      </c>
      <c r="I23" s="50" t="n">
        <f aca="false">$B$4*I$16*0.35</f>
        <v>24150</v>
      </c>
      <c r="J23" s="50" t="n">
        <f aca="false">$B$4*J$16*0.35</f>
        <v>18480</v>
      </c>
      <c r="K23" s="50" t="n">
        <f aca="false">$B$4*K$16*0.35</f>
        <v>22050</v>
      </c>
      <c r="L23" s="50" t="n">
        <f aca="false">$B$4*L$16*0.35</f>
        <v>17220</v>
      </c>
      <c r="M23" s="50" t="n">
        <f aca="false">$B$4*M$16*0.35</f>
        <v>17430</v>
      </c>
      <c r="O23" s="50" t="n">
        <f aca="false">SUM(B23:M23)</f>
        <v>252000</v>
      </c>
      <c r="P23" s="25" t="n">
        <f aca="false">IF(O26=0,0,O23/O26)</f>
        <v>0.35</v>
      </c>
    </row>
    <row r="24" customFormat="false" ht="16.5" hidden="false" customHeight="true" outlineLevel="0" collapsed="false">
      <c r="A24" s="16" t="s">
        <v>73</v>
      </c>
      <c r="B24" s="51" t="n">
        <f aca="false">$B$4*B$16*0.55</f>
        <v>33000</v>
      </c>
      <c r="C24" s="51" t="n">
        <f aca="false">$B$4*C$16*0.55</f>
        <v>36960</v>
      </c>
      <c r="D24" s="51" t="n">
        <f aca="false">$B$4*D$16*0.55</f>
        <v>27060</v>
      </c>
      <c r="E24" s="51" t="n">
        <f aca="false">$B$4*E$16*0.55</f>
        <v>28050</v>
      </c>
      <c r="F24" s="51" t="n">
        <f aca="false">$B$4*F$16*0.55</f>
        <v>35640</v>
      </c>
      <c r="G24" s="51" t="n">
        <f aca="false">$B$4*G$16*0.55</f>
        <v>38940</v>
      </c>
      <c r="H24" s="51" t="n">
        <f aca="false">$B$4*H$16*0.55</f>
        <v>40260</v>
      </c>
      <c r="I24" s="51" t="n">
        <f aca="false">$B$4*I$16*0.55</f>
        <v>37950</v>
      </c>
      <c r="J24" s="51" t="n">
        <f aca="false">$B$4*J$16*0.55</f>
        <v>29040</v>
      </c>
      <c r="K24" s="51" t="n">
        <f aca="false">$B$4*K$16*0.55</f>
        <v>34650</v>
      </c>
      <c r="L24" s="51" t="n">
        <f aca="false">$B$4*L$16*0.55</f>
        <v>27060</v>
      </c>
      <c r="M24" s="51" t="n">
        <f aca="false">$B$4*M$16*0.55</f>
        <v>27390</v>
      </c>
      <c r="O24" s="51" t="n">
        <f aca="false">SUM(B24:M24)</f>
        <v>396000</v>
      </c>
      <c r="P24" s="23" t="n">
        <f aca="false">IF(O26=0,0,O24/O26)</f>
        <v>0.55</v>
      </c>
    </row>
    <row r="25" customFormat="false" ht="16.5" hidden="false" customHeight="true" outlineLevel="0" collapsed="false">
      <c r="A25" s="11" t="s">
        <v>74</v>
      </c>
      <c r="B25" s="50" t="n">
        <f aca="false">$B$4*B$16*0.1</f>
        <v>6000</v>
      </c>
      <c r="C25" s="50" t="n">
        <f aca="false">$B$4*C$16*0.1</f>
        <v>6720</v>
      </c>
      <c r="D25" s="50" t="n">
        <f aca="false">$B$4*D$16*0.1</f>
        <v>4920</v>
      </c>
      <c r="E25" s="50" t="n">
        <f aca="false">$B$4*E$16*0.1</f>
        <v>5100</v>
      </c>
      <c r="F25" s="50" t="n">
        <f aca="false">$B$4*F$16*0.1</f>
        <v>6480</v>
      </c>
      <c r="G25" s="50" t="n">
        <f aca="false">$B$4*G$16*0.1</f>
        <v>7080</v>
      </c>
      <c r="H25" s="50" t="n">
        <f aca="false">$B$4*H$16*0.1</f>
        <v>7320</v>
      </c>
      <c r="I25" s="50" t="n">
        <f aca="false">$B$4*I$16*0.1</f>
        <v>6900</v>
      </c>
      <c r="J25" s="50" t="n">
        <f aca="false">$B$4*J$16*0.1</f>
        <v>5280</v>
      </c>
      <c r="K25" s="50" t="n">
        <f aca="false">$B$4*K$16*0.1</f>
        <v>6300</v>
      </c>
      <c r="L25" s="50" t="n">
        <f aca="false">$B$4*L$16*0.1</f>
        <v>4920</v>
      </c>
      <c r="M25" s="50" t="n">
        <f aca="false">$B$4*M$16*0.1</f>
        <v>4980</v>
      </c>
      <c r="O25" s="50" t="n">
        <f aca="false">SUM(B25:M25)</f>
        <v>72000</v>
      </c>
      <c r="P25" s="25" t="n">
        <f aca="false">IF(O26=0,0,O25/O26)</f>
        <v>0.1</v>
      </c>
    </row>
    <row r="26" customFormat="false" ht="16.5" hidden="false" customHeight="true" outlineLevel="0" collapsed="false">
      <c r="A26" s="52" t="s">
        <v>75</v>
      </c>
      <c r="B26" s="53" t="n">
        <f aca="false">B23+B24+B25</f>
        <v>60000</v>
      </c>
      <c r="C26" s="53" t="n">
        <f aca="false">C23+C24+C25</f>
        <v>67200</v>
      </c>
      <c r="D26" s="53" t="n">
        <f aca="false">D23+D24+D25</f>
        <v>49200</v>
      </c>
      <c r="E26" s="53" t="n">
        <f aca="false">E23+E24+E25</f>
        <v>51000</v>
      </c>
      <c r="F26" s="53" t="n">
        <f aca="false">F23+F24+F25</f>
        <v>64800</v>
      </c>
      <c r="G26" s="53" t="n">
        <f aca="false">G23+G24+G25</f>
        <v>70800</v>
      </c>
      <c r="H26" s="53" t="n">
        <f aca="false">H23+H24+H25</f>
        <v>73200</v>
      </c>
      <c r="I26" s="53" t="n">
        <f aca="false">I23+I24+I25</f>
        <v>69000</v>
      </c>
      <c r="J26" s="53" t="n">
        <f aca="false">J23+J24+J25</f>
        <v>52800</v>
      </c>
      <c r="K26" s="53" t="n">
        <f aca="false">K23+K24+K25</f>
        <v>63000</v>
      </c>
      <c r="L26" s="53" t="n">
        <f aca="false">L23+L24+L25</f>
        <v>49200</v>
      </c>
      <c r="M26" s="53" t="n">
        <f aca="false">M23+M24+M25</f>
        <v>49800</v>
      </c>
      <c r="O26" s="54" t="n">
        <f aca="false">SUM(B26:M26)</f>
        <v>720000</v>
      </c>
      <c r="P26" s="55" t="n">
        <f aca="false">IF(O26=0,0,O26/O26)</f>
        <v>1</v>
      </c>
    </row>
    <row r="27" customFormat="false" ht="6" hidden="false" customHeight="true" outlineLevel="0" collapsed="false"/>
    <row r="28" customFormat="false" ht="16.5" hidden="false" customHeight="true" outlineLevel="0" collapsed="false">
      <c r="A28" s="48" t="s">
        <v>76</v>
      </c>
      <c r="O28" s="49"/>
      <c r="P28" s="49"/>
    </row>
    <row r="29" customFormat="false" ht="16.5" hidden="false" customHeight="true" outlineLevel="0" collapsed="false">
      <c r="A29" s="11" t="s">
        <v>77</v>
      </c>
      <c r="B29" s="50" t="n">
        <f aca="false">B26*($B$5+B$17)</f>
        <v>16200</v>
      </c>
      <c r="C29" s="50" t="n">
        <f aca="false">C26*($B$5+C$17)</f>
        <v>18144</v>
      </c>
      <c r="D29" s="50" t="n">
        <f aca="false">D26*($B$5+D$17)</f>
        <v>13284</v>
      </c>
      <c r="E29" s="50" t="n">
        <f aca="false">E26*($B$5+E$17)</f>
        <v>13770</v>
      </c>
      <c r="F29" s="50" t="n">
        <f aca="false">F26*($B$5+F$17)</f>
        <v>18144</v>
      </c>
      <c r="G29" s="50" t="n">
        <f aca="false">G26*($B$5+G$17)</f>
        <v>19824</v>
      </c>
      <c r="H29" s="50" t="n">
        <f aca="false">H26*($B$5+H$17)</f>
        <v>20862</v>
      </c>
      <c r="I29" s="50" t="n">
        <f aca="false">I26*($B$5+I$17)</f>
        <v>19320</v>
      </c>
      <c r="J29" s="50" t="n">
        <f aca="false">J26*($B$5+J$17)</f>
        <v>14256</v>
      </c>
      <c r="K29" s="50" t="n">
        <f aca="false">K26*($B$5+K$17)</f>
        <v>17010</v>
      </c>
      <c r="L29" s="50" t="n">
        <f aca="false">L26*($B$5+L$17)</f>
        <v>13284</v>
      </c>
      <c r="M29" s="50" t="n">
        <f aca="false">M26*($B$5+M$17)</f>
        <v>13446</v>
      </c>
      <c r="O29" s="50" t="n">
        <f aca="false">SUM(B29:M29)</f>
        <v>197544</v>
      </c>
      <c r="P29" s="25" t="n">
        <f aca="false">IF(O26=0,0,O29/O26)</f>
        <v>0.274366666666667</v>
      </c>
    </row>
    <row r="30" customFormat="false" ht="16.5" hidden="false" customHeight="true" outlineLevel="0" collapsed="false">
      <c r="A30" s="16" t="s">
        <v>78</v>
      </c>
      <c r="B30" s="51" t="n">
        <f aca="false">B26*$B$6</f>
        <v>1200</v>
      </c>
      <c r="C30" s="51" t="n">
        <f aca="false">C26*$B$6</f>
        <v>1344</v>
      </c>
      <c r="D30" s="51" t="n">
        <f aca="false">D26*$B$6</f>
        <v>984</v>
      </c>
      <c r="E30" s="51" t="n">
        <f aca="false">E26*$B$6</f>
        <v>1020</v>
      </c>
      <c r="F30" s="51" t="n">
        <f aca="false">F26*$B$6</f>
        <v>1296</v>
      </c>
      <c r="G30" s="51" t="n">
        <f aca="false">G26*$B$6</f>
        <v>1416</v>
      </c>
      <c r="H30" s="51" t="n">
        <f aca="false">H26*$B$6</f>
        <v>1464</v>
      </c>
      <c r="I30" s="51" t="n">
        <f aca="false">I26*$B$6</f>
        <v>1380</v>
      </c>
      <c r="J30" s="51" t="n">
        <f aca="false">J26*$B$6</f>
        <v>1056</v>
      </c>
      <c r="K30" s="51" t="n">
        <f aca="false">K26*$B$6</f>
        <v>1260</v>
      </c>
      <c r="L30" s="51" t="n">
        <f aca="false">L26*$B$6</f>
        <v>984</v>
      </c>
      <c r="M30" s="51" t="n">
        <f aca="false">M26*$B$6</f>
        <v>996</v>
      </c>
      <c r="O30" s="51" t="n">
        <f aca="false">SUM(B30:M30)</f>
        <v>14400</v>
      </c>
      <c r="P30" s="23" t="n">
        <f aca="false">IF(O26=0,0,O30/O26)</f>
        <v>0.02</v>
      </c>
    </row>
    <row r="31" customFormat="false" ht="16.5" hidden="false" customHeight="true" outlineLevel="0" collapsed="false">
      <c r="A31" s="56" t="s">
        <v>8</v>
      </c>
      <c r="B31" s="53" t="n">
        <f aca="false">B29+B30</f>
        <v>17400</v>
      </c>
      <c r="C31" s="53" t="n">
        <f aca="false">C29+C30</f>
        <v>19488</v>
      </c>
      <c r="D31" s="53" t="n">
        <f aca="false">D29+D30</f>
        <v>14268</v>
      </c>
      <c r="E31" s="53" t="n">
        <f aca="false">E29+E30</f>
        <v>14790</v>
      </c>
      <c r="F31" s="53" t="n">
        <f aca="false">F29+F30</f>
        <v>19440</v>
      </c>
      <c r="G31" s="53" t="n">
        <f aca="false">G29+G30</f>
        <v>21240</v>
      </c>
      <c r="H31" s="53" t="n">
        <f aca="false">H29+H30</f>
        <v>22326</v>
      </c>
      <c r="I31" s="53" t="n">
        <f aca="false">I29+I30</f>
        <v>20700</v>
      </c>
      <c r="J31" s="53" t="n">
        <f aca="false">J29+J30</f>
        <v>15312</v>
      </c>
      <c r="K31" s="53" t="n">
        <f aca="false">K29+K30</f>
        <v>18270</v>
      </c>
      <c r="L31" s="53" t="n">
        <f aca="false">L29+L30</f>
        <v>14268</v>
      </c>
      <c r="M31" s="53" t="n">
        <f aca="false">M29+M30</f>
        <v>14442</v>
      </c>
      <c r="O31" s="54" t="n">
        <f aca="false">SUM(B31:M31)</f>
        <v>211944</v>
      </c>
      <c r="P31" s="55" t="n">
        <f aca="false">IF(O26=0,0,O31/O26)</f>
        <v>0.294366666666667</v>
      </c>
    </row>
    <row r="32" customFormat="false" ht="6" hidden="false" customHeight="true" outlineLevel="0" collapsed="false"/>
    <row r="33" customFormat="false" ht="16.5" hidden="false" customHeight="true" outlineLevel="0" collapsed="false">
      <c r="A33" s="56" t="s">
        <v>79</v>
      </c>
      <c r="B33" s="53" t="n">
        <f aca="false">B26-B31</f>
        <v>42600</v>
      </c>
      <c r="C33" s="53" t="n">
        <f aca="false">C26-C31</f>
        <v>47712</v>
      </c>
      <c r="D33" s="53" t="n">
        <f aca="false">D26-D31</f>
        <v>34932</v>
      </c>
      <c r="E33" s="53" t="n">
        <f aca="false">E26-E31</f>
        <v>36210</v>
      </c>
      <c r="F33" s="53" t="n">
        <f aca="false">F26-F31</f>
        <v>45360</v>
      </c>
      <c r="G33" s="53" t="n">
        <f aca="false">G26-G31</f>
        <v>49560</v>
      </c>
      <c r="H33" s="53" t="n">
        <f aca="false">H26-H31</f>
        <v>50874</v>
      </c>
      <c r="I33" s="53" t="n">
        <f aca="false">I26-I31</f>
        <v>48300</v>
      </c>
      <c r="J33" s="53" t="n">
        <f aca="false">J26-J31</f>
        <v>37488</v>
      </c>
      <c r="K33" s="53" t="n">
        <f aca="false">K26-K31</f>
        <v>44730</v>
      </c>
      <c r="L33" s="53" t="n">
        <f aca="false">L26-L31</f>
        <v>34932</v>
      </c>
      <c r="M33" s="53" t="n">
        <f aca="false">M26-M31</f>
        <v>35358</v>
      </c>
      <c r="O33" s="54" t="n">
        <f aca="false">SUM(B33:M33)</f>
        <v>508056</v>
      </c>
      <c r="P33" s="55" t="n">
        <f aca="false">IF(O26=0,0,O33/O26)</f>
        <v>0.705633333333333</v>
      </c>
    </row>
    <row r="34" customFormat="false" ht="16.5" hidden="false" customHeight="true" outlineLevel="0" collapsed="false">
      <c r="A34" s="16" t="s">
        <v>10</v>
      </c>
      <c r="B34" s="23" t="n">
        <f aca="false">IF(B26=0,0,B33/B26)</f>
        <v>0.71</v>
      </c>
      <c r="C34" s="23" t="n">
        <f aca="false">IF(C26=0,0,C33/C26)</f>
        <v>0.71</v>
      </c>
      <c r="D34" s="23" t="n">
        <f aca="false">IF(D26=0,0,D33/D26)</f>
        <v>0.71</v>
      </c>
      <c r="E34" s="23" t="n">
        <f aca="false">IF(E26=0,0,E33/E26)</f>
        <v>0.71</v>
      </c>
      <c r="F34" s="23" t="n">
        <f aca="false">IF(F26=0,0,F33/F26)</f>
        <v>0.7</v>
      </c>
      <c r="G34" s="23" t="n">
        <f aca="false">IF(G26=0,0,G33/G26)</f>
        <v>0.7</v>
      </c>
      <c r="H34" s="23" t="n">
        <f aca="false">IF(H26=0,0,H33/H26)</f>
        <v>0.695</v>
      </c>
      <c r="I34" s="23" t="n">
        <f aca="false">IF(I26=0,0,I33/I26)</f>
        <v>0.7</v>
      </c>
      <c r="J34" s="23" t="n">
        <f aca="false">IF(J26=0,0,J33/J26)</f>
        <v>0.71</v>
      </c>
      <c r="K34" s="23" t="n">
        <f aca="false">IF(K26=0,0,K33/K26)</f>
        <v>0.71</v>
      </c>
      <c r="L34" s="23" t="n">
        <f aca="false">IF(L26=0,0,L33/L26)</f>
        <v>0.71</v>
      </c>
      <c r="M34" s="23" t="n">
        <f aca="false">IF(M26=0,0,M33/M26)</f>
        <v>0.71</v>
      </c>
      <c r="O34" s="23" t="n">
        <f aca="false">IF(O26=0,0,O33/O26)</f>
        <v>0.705633333333333</v>
      </c>
      <c r="P34" s="23" t="n">
        <f aca="false">IF(O26=0,0,O33/O26)</f>
        <v>0.705633333333333</v>
      </c>
    </row>
    <row r="35" customFormat="false" ht="6" hidden="false" customHeight="true" outlineLevel="0" collapsed="false"/>
    <row r="36" customFormat="false" ht="16.5" hidden="false" customHeight="true" outlineLevel="0" collapsed="false">
      <c r="A36" s="48" t="s">
        <v>80</v>
      </c>
      <c r="O36" s="49"/>
      <c r="P36" s="49"/>
    </row>
    <row r="37" customFormat="false" ht="16.5" hidden="false" customHeight="true" outlineLevel="0" collapsed="false">
      <c r="A37" s="11" t="s">
        <v>81</v>
      </c>
      <c r="B37" s="50" t="n">
        <f aca="false">B26*$B$7</f>
        <v>13200</v>
      </c>
      <c r="C37" s="50" t="n">
        <f aca="false">C26*$B$7</f>
        <v>14784</v>
      </c>
      <c r="D37" s="50" t="n">
        <f aca="false">D26*$B$7</f>
        <v>10824</v>
      </c>
      <c r="E37" s="50" t="n">
        <f aca="false">E26*$B$7</f>
        <v>11220</v>
      </c>
      <c r="F37" s="50" t="n">
        <f aca="false">F26*$B$7</f>
        <v>14256</v>
      </c>
      <c r="G37" s="50" t="n">
        <f aca="false">G26*$B$7</f>
        <v>15576</v>
      </c>
      <c r="H37" s="50" t="n">
        <f aca="false">H26*$B$7</f>
        <v>16104</v>
      </c>
      <c r="I37" s="50" t="n">
        <f aca="false">I26*$B$7</f>
        <v>15180</v>
      </c>
      <c r="J37" s="50" t="n">
        <f aca="false">J26*$B$7</f>
        <v>11616</v>
      </c>
      <c r="K37" s="50" t="n">
        <f aca="false">K26*$B$7</f>
        <v>13860</v>
      </c>
      <c r="L37" s="50" t="n">
        <f aca="false">L26*$B$7</f>
        <v>10824</v>
      </c>
      <c r="M37" s="50" t="n">
        <f aca="false">M26*$B$7</f>
        <v>10956</v>
      </c>
      <c r="O37" s="50" t="n">
        <f aca="false">SUM(B37:M37)</f>
        <v>158400</v>
      </c>
      <c r="P37" s="25" t="n">
        <f aca="false">IF(O26=0,0,O37/O26)</f>
        <v>0.22</v>
      </c>
    </row>
    <row r="38" customFormat="false" ht="16.5" hidden="false" customHeight="true" outlineLevel="0" collapsed="false">
      <c r="A38" s="16" t="s">
        <v>82</v>
      </c>
      <c r="B38" s="17" t="n">
        <f aca="false">$B$8</f>
        <v>3500</v>
      </c>
      <c r="C38" s="17" t="n">
        <f aca="false">$B$8</f>
        <v>3500</v>
      </c>
      <c r="D38" s="17" t="n">
        <f aca="false">$B$8</f>
        <v>3500</v>
      </c>
      <c r="E38" s="17" t="n">
        <f aca="false">$B$8</f>
        <v>3500</v>
      </c>
      <c r="F38" s="17" t="n">
        <f aca="false">$B$8</f>
        <v>3500</v>
      </c>
      <c r="G38" s="17" t="n">
        <f aca="false">$B$8</f>
        <v>3500</v>
      </c>
      <c r="H38" s="17" t="n">
        <f aca="false">$B$8</f>
        <v>3500</v>
      </c>
      <c r="I38" s="17" t="n">
        <f aca="false">$B$8</f>
        <v>3500</v>
      </c>
      <c r="J38" s="17" t="n">
        <f aca="false">$B$8</f>
        <v>3500</v>
      </c>
      <c r="K38" s="17" t="n">
        <f aca="false">$B$8</f>
        <v>3500</v>
      </c>
      <c r="L38" s="17" t="n">
        <f aca="false">$B$8</f>
        <v>3500</v>
      </c>
      <c r="M38" s="17" t="n">
        <f aca="false">$B$8</f>
        <v>3500</v>
      </c>
      <c r="O38" s="51" t="n">
        <f aca="false">SUM(B38:M38)</f>
        <v>42000</v>
      </c>
      <c r="P38" s="23" t="n">
        <f aca="false">IF(O26=0,0,O38/O26)</f>
        <v>0.0583333333333333</v>
      </c>
    </row>
    <row r="39" customFormat="false" ht="16.5" hidden="false" customHeight="true" outlineLevel="0" collapsed="false">
      <c r="A39" s="11" t="s">
        <v>83</v>
      </c>
      <c r="B39" s="12" t="n">
        <f aca="false">$B$9</f>
        <v>5600</v>
      </c>
      <c r="C39" s="12" t="n">
        <f aca="false">$B$9</f>
        <v>5600</v>
      </c>
      <c r="D39" s="12" t="n">
        <f aca="false">$B$9</f>
        <v>5600</v>
      </c>
      <c r="E39" s="12" t="n">
        <f aca="false">$B$9</f>
        <v>5600</v>
      </c>
      <c r="F39" s="12" t="n">
        <f aca="false">$B$9</f>
        <v>5600</v>
      </c>
      <c r="G39" s="12" t="n">
        <f aca="false">$B$9</f>
        <v>5600</v>
      </c>
      <c r="H39" s="12" t="n">
        <f aca="false">$B$9</f>
        <v>5600</v>
      </c>
      <c r="I39" s="12" t="n">
        <f aca="false">$B$9</f>
        <v>5600</v>
      </c>
      <c r="J39" s="12" t="n">
        <f aca="false">$B$9</f>
        <v>5600</v>
      </c>
      <c r="K39" s="12" t="n">
        <f aca="false">$B$9</f>
        <v>5600</v>
      </c>
      <c r="L39" s="12" t="n">
        <f aca="false">$B$9</f>
        <v>5600</v>
      </c>
      <c r="M39" s="12" t="n">
        <f aca="false">$B$9</f>
        <v>5600</v>
      </c>
      <c r="O39" s="50" t="n">
        <f aca="false">SUM(B39:M39)</f>
        <v>67200</v>
      </c>
      <c r="P39" s="25" t="n">
        <f aca="false">IF(O26=0,0,O39/O26)</f>
        <v>0.0933333333333333</v>
      </c>
    </row>
    <row r="40" customFormat="false" ht="16.5" hidden="false" customHeight="true" outlineLevel="0" collapsed="false">
      <c r="A40" s="16" t="s">
        <v>84</v>
      </c>
      <c r="B40" s="51" t="n">
        <f aca="false">$B$10*B$18</f>
        <v>1265</v>
      </c>
      <c r="C40" s="51" t="n">
        <f aca="false">$B$10*C$18</f>
        <v>1265</v>
      </c>
      <c r="D40" s="51" t="n">
        <f aca="false">$B$10*D$18</f>
        <v>1100</v>
      </c>
      <c r="E40" s="51" t="n">
        <f aca="false">$B$10*E$18</f>
        <v>990</v>
      </c>
      <c r="F40" s="51" t="n">
        <f aca="false">$B$10*F$18</f>
        <v>1045</v>
      </c>
      <c r="G40" s="51" t="n">
        <f aca="false">$B$10*G$18</f>
        <v>1155</v>
      </c>
      <c r="H40" s="51" t="n">
        <f aca="false">$B$10*H$18</f>
        <v>1298</v>
      </c>
      <c r="I40" s="51" t="n">
        <f aca="false">$B$10*I$18</f>
        <v>1298</v>
      </c>
      <c r="J40" s="51" t="n">
        <f aca="false">$B$10*J$18</f>
        <v>1045</v>
      </c>
      <c r="K40" s="51" t="n">
        <f aca="false">$B$10*K$18</f>
        <v>990</v>
      </c>
      <c r="L40" s="51" t="n">
        <f aca="false">$B$10*L$18</f>
        <v>1100</v>
      </c>
      <c r="M40" s="51" t="n">
        <f aca="false">$B$10*M$18</f>
        <v>1210</v>
      </c>
      <c r="O40" s="51" t="n">
        <f aca="false">SUM(B40:M40)</f>
        <v>13761</v>
      </c>
      <c r="P40" s="23" t="n">
        <f aca="false">IF(O26=0,0,O40/O26)</f>
        <v>0.0191125</v>
      </c>
    </row>
    <row r="41" customFormat="false" ht="16.5" hidden="false" customHeight="true" outlineLevel="0" collapsed="false">
      <c r="A41" s="11" t="s">
        <v>85</v>
      </c>
      <c r="B41" s="50" t="n">
        <f aca="false">B26*$B$11</f>
        <v>2400</v>
      </c>
      <c r="C41" s="50" t="n">
        <f aca="false">C26*$B$11</f>
        <v>2688</v>
      </c>
      <c r="D41" s="50" t="n">
        <f aca="false">D26*$B$11</f>
        <v>1968</v>
      </c>
      <c r="E41" s="50" t="n">
        <f aca="false">E26*$B$11</f>
        <v>2040</v>
      </c>
      <c r="F41" s="50" t="n">
        <f aca="false">F26*$B$11</f>
        <v>2592</v>
      </c>
      <c r="G41" s="50" t="n">
        <f aca="false">G26*$B$11</f>
        <v>2832</v>
      </c>
      <c r="H41" s="50" t="n">
        <f aca="false">H26*$B$11</f>
        <v>2928</v>
      </c>
      <c r="I41" s="50" t="n">
        <f aca="false">I26*$B$11</f>
        <v>2760</v>
      </c>
      <c r="J41" s="50" t="n">
        <f aca="false">J26*$B$11</f>
        <v>2112</v>
      </c>
      <c r="K41" s="50" t="n">
        <f aca="false">K26*$B$11</f>
        <v>2520</v>
      </c>
      <c r="L41" s="50" t="n">
        <f aca="false">L26*$B$11</f>
        <v>1968</v>
      </c>
      <c r="M41" s="50" t="n">
        <f aca="false">M26*$B$11</f>
        <v>1992</v>
      </c>
      <c r="O41" s="50" t="n">
        <f aca="false">SUM(B41:M41)</f>
        <v>28800</v>
      </c>
      <c r="P41" s="25" t="n">
        <f aca="false">IF(O26=0,0,O41/O26)</f>
        <v>0.04</v>
      </c>
    </row>
    <row r="42" customFormat="false" ht="16.5" hidden="false" customHeight="true" outlineLevel="0" collapsed="false">
      <c r="A42" s="16" t="s">
        <v>86</v>
      </c>
      <c r="B42" s="17" t="n">
        <f aca="false">$B$12</f>
        <v>400</v>
      </c>
      <c r="C42" s="17" t="n">
        <f aca="false">$B$12</f>
        <v>400</v>
      </c>
      <c r="D42" s="17" t="n">
        <f aca="false">$B$12</f>
        <v>400</v>
      </c>
      <c r="E42" s="17" t="n">
        <f aca="false">$B$12</f>
        <v>400</v>
      </c>
      <c r="F42" s="17" t="n">
        <f aca="false">$B$12</f>
        <v>400</v>
      </c>
      <c r="G42" s="17" t="n">
        <f aca="false">$B$12</f>
        <v>400</v>
      </c>
      <c r="H42" s="17" t="n">
        <f aca="false">$B$12</f>
        <v>400</v>
      </c>
      <c r="I42" s="17" t="n">
        <f aca="false">$B$12</f>
        <v>400</v>
      </c>
      <c r="J42" s="17" t="n">
        <f aca="false">$B$12</f>
        <v>400</v>
      </c>
      <c r="K42" s="17" t="n">
        <f aca="false">$B$12</f>
        <v>400</v>
      </c>
      <c r="L42" s="17" t="n">
        <f aca="false">$B$12</f>
        <v>400</v>
      </c>
      <c r="M42" s="17" t="n">
        <f aca="false">$B$12</f>
        <v>400</v>
      </c>
      <c r="O42" s="51" t="n">
        <f aca="false">SUM(B42:M42)</f>
        <v>4800</v>
      </c>
      <c r="P42" s="23" t="n">
        <f aca="false">IF(O26=0,0,O42/O26)</f>
        <v>0.00666666666666667</v>
      </c>
    </row>
    <row r="43" customFormat="false" ht="16.5" hidden="false" customHeight="true" outlineLevel="0" collapsed="false">
      <c r="A43" s="56" t="s">
        <v>11</v>
      </c>
      <c r="B43" s="53" t="n">
        <f aca="false">B37+B38+B39+B40+B41+B42</f>
        <v>26365</v>
      </c>
      <c r="C43" s="53" t="n">
        <f aca="false">C37+C38+C39+C40+C41+C42</f>
        <v>28237</v>
      </c>
      <c r="D43" s="53" t="n">
        <f aca="false">D37+D38+D39+D40+D41+D42</f>
        <v>23392</v>
      </c>
      <c r="E43" s="53" t="n">
        <f aca="false">E37+E38+E39+E40+E41+E42</f>
        <v>23750</v>
      </c>
      <c r="F43" s="53" t="n">
        <f aca="false">F37+F38+F39+F40+F41+F42</f>
        <v>27393</v>
      </c>
      <c r="G43" s="53" t="n">
        <f aca="false">G37+G38+G39+G40+G41+G42</f>
        <v>29063</v>
      </c>
      <c r="H43" s="53" t="n">
        <f aca="false">H37+H38+H39+H40+H41+H42</f>
        <v>29830</v>
      </c>
      <c r="I43" s="53" t="n">
        <f aca="false">I37+I38+I39+I40+I41+I42</f>
        <v>28738</v>
      </c>
      <c r="J43" s="53" t="n">
        <f aca="false">J37+J38+J39+J40+J41+J42</f>
        <v>24273</v>
      </c>
      <c r="K43" s="53" t="n">
        <f aca="false">K37+K38+K39+K40+K41+K42</f>
        <v>26870</v>
      </c>
      <c r="L43" s="53" t="n">
        <f aca="false">L37+L38+L39+L40+L41+L42</f>
        <v>23392</v>
      </c>
      <c r="M43" s="53" t="n">
        <f aca="false">M37+M38+M39+M40+M41+M42</f>
        <v>23658</v>
      </c>
      <c r="O43" s="54" t="n">
        <f aca="false">SUM(B43:M43)</f>
        <v>314961</v>
      </c>
      <c r="P43" s="55" t="n">
        <f aca="false">IF(O26=0,0,O43/O26)</f>
        <v>0.437445833333333</v>
      </c>
    </row>
    <row r="44" customFormat="false" ht="6" hidden="false" customHeight="true" outlineLevel="0" collapsed="false"/>
    <row r="45" customFormat="false" ht="16.5" hidden="false" customHeight="true" outlineLevel="0" collapsed="false">
      <c r="A45" s="56" t="s">
        <v>87</v>
      </c>
      <c r="B45" s="53" t="n">
        <f aca="false">B33-B43</f>
        <v>16235</v>
      </c>
      <c r="C45" s="53" t="n">
        <f aca="false">C33-C43</f>
        <v>19475</v>
      </c>
      <c r="D45" s="53" t="n">
        <f aca="false">D33-D43</f>
        <v>11540</v>
      </c>
      <c r="E45" s="53" t="n">
        <f aca="false">E33-E43</f>
        <v>12460</v>
      </c>
      <c r="F45" s="53" t="n">
        <f aca="false">F33-F43</f>
        <v>17967</v>
      </c>
      <c r="G45" s="53" t="n">
        <f aca="false">G33-G43</f>
        <v>20497</v>
      </c>
      <c r="H45" s="53" t="n">
        <f aca="false">H33-H43</f>
        <v>21044</v>
      </c>
      <c r="I45" s="53" t="n">
        <f aca="false">I33-I43</f>
        <v>19562</v>
      </c>
      <c r="J45" s="53" t="n">
        <f aca="false">J33-J43</f>
        <v>13215</v>
      </c>
      <c r="K45" s="53" t="n">
        <f aca="false">K33-K43</f>
        <v>17860</v>
      </c>
      <c r="L45" s="53" t="n">
        <f aca="false">L33-L43</f>
        <v>11540</v>
      </c>
      <c r="M45" s="53" t="n">
        <f aca="false">M33-M43</f>
        <v>11700</v>
      </c>
      <c r="O45" s="54" t="n">
        <f aca="false">SUM(B45:M45)</f>
        <v>193095</v>
      </c>
      <c r="P45" s="55" t="n">
        <f aca="false">IF(O26=0,0,O45/O26)</f>
        <v>0.2681875</v>
      </c>
    </row>
    <row r="46" customFormat="false" ht="16.5" hidden="false" customHeight="true" outlineLevel="0" collapsed="false">
      <c r="A46" s="16" t="s">
        <v>88</v>
      </c>
      <c r="B46" s="23" t="n">
        <f aca="false">IF(B26=0,0,B45/B26)</f>
        <v>0.270583333333333</v>
      </c>
      <c r="C46" s="23" t="n">
        <f aca="false">IF(C26=0,0,C45/C26)</f>
        <v>0.289806547619048</v>
      </c>
      <c r="D46" s="23" t="n">
        <f aca="false">IF(D26=0,0,D45/D26)</f>
        <v>0.234552845528455</v>
      </c>
      <c r="E46" s="23" t="n">
        <f aca="false">IF(E26=0,0,E45/E26)</f>
        <v>0.244313725490196</v>
      </c>
      <c r="F46" s="23" t="n">
        <f aca="false">IF(F26=0,0,F45/F26)</f>
        <v>0.277268518518518</v>
      </c>
      <c r="G46" s="23" t="n">
        <f aca="false">IF(G26=0,0,G45/G26)</f>
        <v>0.289505649717514</v>
      </c>
      <c r="H46" s="23" t="n">
        <f aca="false">IF(H26=0,0,H45/H26)</f>
        <v>0.287486338797814</v>
      </c>
      <c r="I46" s="23" t="n">
        <f aca="false">IF(I26=0,0,I45/I26)</f>
        <v>0.283507246376812</v>
      </c>
      <c r="J46" s="23" t="n">
        <f aca="false">IF(J26=0,0,J45/J26)</f>
        <v>0.250284090909091</v>
      </c>
      <c r="K46" s="23" t="n">
        <f aca="false">IF(K26=0,0,K45/K26)</f>
        <v>0.283492063492064</v>
      </c>
      <c r="L46" s="23" t="n">
        <f aca="false">IF(L26=0,0,L45/L26)</f>
        <v>0.234552845528455</v>
      </c>
      <c r="M46" s="23" t="n">
        <f aca="false">IF(M26=0,0,M45/M26)</f>
        <v>0.234939759036145</v>
      </c>
      <c r="O46" s="23" t="n">
        <f aca="false">IF(O26=0,0,O45/O26)</f>
        <v>0.2681875</v>
      </c>
      <c r="P46" s="23" t="n">
        <f aca="false">IF(O26=0,0,O45/O26)</f>
        <v>0.2681875</v>
      </c>
    </row>
  </sheetData>
  <mergeCells count="5">
    <mergeCell ref="A1:P1"/>
    <mergeCell ref="A2:P2"/>
    <mergeCell ref="A3:P3"/>
    <mergeCell ref="A14:P14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14" min="2" style="0" width="10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27.75" hidden="false" customHeight="true" outlineLevel="0" collapsed="false">
      <c r="A1" s="33" t="s">
        <v>89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1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19" t="s">
        <v>36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customFormat="false" ht="16.5" hidden="false" customHeight="true" outlineLevel="0" collapsed="false">
      <c r="A4" s="16" t="s">
        <v>37</v>
      </c>
      <c r="B4" s="34" t="n">
        <v>63000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customFormat="false" ht="16.5" hidden="false" customHeight="true" outlineLevel="0" collapsed="false">
      <c r="A5" s="11" t="s">
        <v>38</v>
      </c>
      <c r="B5" s="36" t="n">
        <v>0.27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customFormat="false" ht="16.5" hidden="false" customHeight="true" outlineLevel="0" collapsed="false">
      <c r="A6" s="16" t="s">
        <v>39</v>
      </c>
      <c r="B6" s="36" t="n">
        <v>0.02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customFormat="false" ht="16.5" hidden="false" customHeight="true" outlineLevel="0" collapsed="false">
      <c r="A7" s="11" t="s">
        <v>40</v>
      </c>
      <c r="B7" s="36" t="n">
        <v>0.22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customFormat="false" ht="16.5" hidden="false" customHeight="true" outlineLevel="0" collapsed="false">
      <c r="A8" s="16" t="s">
        <v>41</v>
      </c>
      <c r="B8" s="34" t="n">
        <v>3500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customFormat="false" ht="16.5" hidden="false" customHeight="true" outlineLevel="0" collapsed="false">
      <c r="A9" s="11" t="s">
        <v>42</v>
      </c>
      <c r="B9" s="34" t="n">
        <v>5800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customFormat="false" ht="16.5" hidden="false" customHeight="true" outlineLevel="0" collapsed="false">
      <c r="A10" s="16" t="s">
        <v>43</v>
      </c>
      <c r="B10" s="34" t="n">
        <v>1100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customFormat="false" ht="16.5" hidden="false" customHeight="true" outlineLevel="0" collapsed="false">
      <c r="A11" s="11" t="s">
        <v>44</v>
      </c>
      <c r="B11" s="36" t="n">
        <v>0.04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customFormat="false" ht="16.5" hidden="false" customHeight="true" outlineLevel="0" collapsed="false">
      <c r="A12" s="16" t="s">
        <v>45</v>
      </c>
      <c r="B12" s="34" t="n">
        <v>400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customFormat="false" ht="7.5" hidden="false" customHeight="true" outlineLevel="0" collapsed="false"/>
    <row r="14" customFormat="false" ht="18" hidden="false" customHeight="true" outlineLevel="0" collapsed="false">
      <c r="A14" s="19" t="s">
        <v>46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customFormat="false" ht="15.75" hidden="false" customHeight="true" outlineLevel="0" collapsed="false">
      <c r="A15" s="38"/>
      <c r="B15" s="39" t="s">
        <v>47</v>
      </c>
      <c r="C15" s="39" t="s">
        <v>48</v>
      </c>
      <c r="D15" s="39" t="s">
        <v>49</v>
      </c>
      <c r="E15" s="39" t="s">
        <v>50</v>
      </c>
      <c r="F15" s="39" t="s">
        <v>51</v>
      </c>
      <c r="G15" s="39" t="s">
        <v>52</v>
      </c>
      <c r="H15" s="39" t="s">
        <v>53</v>
      </c>
      <c r="I15" s="39" t="s">
        <v>54</v>
      </c>
      <c r="J15" s="39" t="s">
        <v>55</v>
      </c>
      <c r="K15" s="39" t="s">
        <v>56</v>
      </c>
      <c r="L15" s="39" t="s">
        <v>57</v>
      </c>
      <c r="M15" s="39" t="s">
        <v>58</v>
      </c>
      <c r="O15" s="40" t="s">
        <v>59</v>
      </c>
      <c r="P15" s="40" t="s">
        <v>60</v>
      </c>
    </row>
    <row r="16" customFormat="false" ht="16.5" hidden="false" customHeight="true" outlineLevel="0" collapsed="false">
      <c r="A16" s="16" t="s">
        <v>61</v>
      </c>
      <c r="B16" s="41" t="n">
        <v>1</v>
      </c>
      <c r="C16" s="41" t="n">
        <v>1.12</v>
      </c>
      <c r="D16" s="41" t="n">
        <v>0.82</v>
      </c>
      <c r="E16" s="41" t="n">
        <v>0.85</v>
      </c>
      <c r="F16" s="41" t="n">
        <v>1.08</v>
      </c>
      <c r="G16" s="41" t="n">
        <v>1.18</v>
      </c>
      <c r="H16" s="41" t="n">
        <v>1.22</v>
      </c>
      <c r="I16" s="41" t="n">
        <v>1.15</v>
      </c>
      <c r="J16" s="41" t="n">
        <v>0.88</v>
      </c>
      <c r="K16" s="41" t="n">
        <v>1.05</v>
      </c>
      <c r="L16" s="41" t="n">
        <v>0.82</v>
      </c>
      <c r="M16" s="41" t="n">
        <v>0.83</v>
      </c>
      <c r="O16" s="42" t="n">
        <f aca="false">AVERAGE(B16:M16)</f>
        <v>1</v>
      </c>
      <c r="P16" s="43" t="s">
        <v>62</v>
      </c>
    </row>
    <row r="17" customFormat="false" ht="16.5" hidden="false" customHeight="true" outlineLevel="0" collapsed="false">
      <c r="A17" s="44" t="s">
        <v>63</v>
      </c>
      <c r="B17" s="45" t="n">
        <v>0</v>
      </c>
      <c r="C17" s="45" t="n">
        <v>0</v>
      </c>
      <c r="D17" s="45" t="n">
        <v>0</v>
      </c>
      <c r="E17" s="45" t="n">
        <v>0</v>
      </c>
      <c r="F17" s="45" t="n">
        <v>0.01</v>
      </c>
      <c r="G17" s="45" t="n">
        <v>0.01</v>
      </c>
      <c r="H17" s="45" t="n">
        <v>0.015</v>
      </c>
      <c r="I17" s="45" t="n">
        <v>0.01</v>
      </c>
      <c r="J17" s="45" t="n">
        <v>0</v>
      </c>
      <c r="K17" s="45" t="n">
        <v>0</v>
      </c>
      <c r="L17" s="45" t="n">
        <v>0</v>
      </c>
      <c r="M17" s="45" t="n">
        <v>0</v>
      </c>
      <c r="O17" s="46" t="n">
        <f aca="false">AVERAGE(B17:M17)</f>
        <v>0.00375</v>
      </c>
      <c r="P17" s="47" t="s">
        <v>64</v>
      </c>
    </row>
    <row r="18" customFormat="false" ht="16.5" hidden="false" customHeight="true" outlineLevel="0" collapsed="false">
      <c r="A18" s="16" t="s">
        <v>65</v>
      </c>
      <c r="B18" s="41" t="n">
        <v>1.15</v>
      </c>
      <c r="C18" s="41" t="n">
        <v>1.15</v>
      </c>
      <c r="D18" s="41" t="n">
        <v>1</v>
      </c>
      <c r="E18" s="41" t="n">
        <v>0.9</v>
      </c>
      <c r="F18" s="41" t="n">
        <v>0.95</v>
      </c>
      <c r="G18" s="41" t="n">
        <v>1.05</v>
      </c>
      <c r="H18" s="41" t="n">
        <v>1.18</v>
      </c>
      <c r="I18" s="41" t="n">
        <v>1.18</v>
      </c>
      <c r="J18" s="41" t="n">
        <v>0.95</v>
      </c>
      <c r="K18" s="41" t="n">
        <v>0.9</v>
      </c>
      <c r="L18" s="41" t="n">
        <v>1</v>
      </c>
      <c r="M18" s="41" t="n">
        <v>1.1</v>
      </c>
      <c r="O18" s="42" t="n">
        <f aca="false">AVERAGE(B18:M18)</f>
        <v>1.0425</v>
      </c>
      <c r="P18" s="43" t="s">
        <v>66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19" t="s">
        <v>67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customFormat="false" ht="18" hidden="false" customHeight="true" outlineLevel="0" collapsed="false">
      <c r="A21" s="20" t="s">
        <v>68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52</v>
      </c>
      <c r="H21" s="21" t="s">
        <v>53</v>
      </c>
      <c r="I21" s="21" t="s">
        <v>54</v>
      </c>
      <c r="J21" s="21" t="s">
        <v>55</v>
      </c>
      <c r="K21" s="21" t="s">
        <v>56</v>
      </c>
      <c r="L21" s="21" t="s">
        <v>57</v>
      </c>
      <c r="M21" s="21" t="s">
        <v>58</v>
      </c>
      <c r="N21" s="7" t="s">
        <v>69</v>
      </c>
      <c r="O21" s="7" t="s">
        <v>70</v>
      </c>
    </row>
    <row r="22" customFormat="false" ht="16.5" hidden="false" customHeight="true" outlineLevel="0" collapsed="false">
      <c r="A22" s="48" t="s">
        <v>71</v>
      </c>
      <c r="O22" s="49"/>
      <c r="P22" s="49"/>
    </row>
    <row r="23" customFormat="false" ht="16.5" hidden="false" customHeight="true" outlineLevel="0" collapsed="false">
      <c r="A23" s="11" t="s">
        <v>72</v>
      </c>
      <c r="B23" s="50" t="n">
        <f aca="false">$B$4*B$16*0.35</f>
        <v>22050</v>
      </c>
      <c r="C23" s="50" t="n">
        <f aca="false">$B$4*C$16*0.35</f>
        <v>24696</v>
      </c>
      <c r="D23" s="50" t="n">
        <f aca="false">$B$4*D$16*0.35</f>
        <v>18081</v>
      </c>
      <c r="E23" s="50" t="n">
        <f aca="false">$B$4*E$16*0.35</f>
        <v>18742.5</v>
      </c>
      <c r="F23" s="50" t="n">
        <f aca="false">$B$4*F$16*0.35</f>
        <v>23814</v>
      </c>
      <c r="G23" s="50" t="n">
        <f aca="false">$B$4*G$16*0.35</f>
        <v>26019</v>
      </c>
      <c r="H23" s="50" t="n">
        <f aca="false">$B$4*H$16*0.35</f>
        <v>26901</v>
      </c>
      <c r="I23" s="50" t="n">
        <f aca="false">$B$4*I$16*0.35</f>
        <v>25357.5</v>
      </c>
      <c r="J23" s="50" t="n">
        <f aca="false">$B$4*J$16*0.35</f>
        <v>19404</v>
      </c>
      <c r="K23" s="50" t="n">
        <f aca="false">$B$4*K$16*0.35</f>
        <v>23152.5</v>
      </c>
      <c r="L23" s="50" t="n">
        <f aca="false">$B$4*L$16*0.35</f>
        <v>18081</v>
      </c>
      <c r="M23" s="50" t="n">
        <f aca="false">$B$4*M$16*0.35</f>
        <v>18301.5</v>
      </c>
      <c r="O23" s="50" t="n">
        <f aca="false">SUM(B23:M23)</f>
        <v>264600</v>
      </c>
      <c r="P23" s="25" t="n">
        <f aca="false">IF(O26=0,0,O23/O26)</f>
        <v>0.35</v>
      </c>
    </row>
    <row r="24" customFormat="false" ht="16.5" hidden="false" customHeight="true" outlineLevel="0" collapsed="false">
      <c r="A24" s="16" t="s">
        <v>73</v>
      </c>
      <c r="B24" s="51" t="n">
        <f aca="false">$B$4*B$16*0.55</f>
        <v>34650</v>
      </c>
      <c r="C24" s="51" t="n">
        <f aca="false">$B$4*C$16*0.55</f>
        <v>38808</v>
      </c>
      <c r="D24" s="51" t="n">
        <f aca="false">$B$4*D$16*0.55</f>
        <v>28413</v>
      </c>
      <c r="E24" s="51" t="n">
        <f aca="false">$B$4*E$16*0.55</f>
        <v>29452.5</v>
      </c>
      <c r="F24" s="51" t="n">
        <f aca="false">$B$4*F$16*0.55</f>
        <v>37422</v>
      </c>
      <c r="G24" s="51" t="n">
        <f aca="false">$B$4*G$16*0.55</f>
        <v>40887</v>
      </c>
      <c r="H24" s="51" t="n">
        <f aca="false">$B$4*H$16*0.55</f>
        <v>42273</v>
      </c>
      <c r="I24" s="51" t="n">
        <f aca="false">$B$4*I$16*0.55</f>
        <v>39847.5</v>
      </c>
      <c r="J24" s="51" t="n">
        <f aca="false">$B$4*J$16*0.55</f>
        <v>30492</v>
      </c>
      <c r="K24" s="51" t="n">
        <f aca="false">$B$4*K$16*0.55</f>
        <v>36382.5</v>
      </c>
      <c r="L24" s="51" t="n">
        <f aca="false">$B$4*L$16*0.55</f>
        <v>28413</v>
      </c>
      <c r="M24" s="51" t="n">
        <f aca="false">$B$4*M$16*0.55</f>
        <v>28759.5</v>
      </c>
      <c r="O24" s="51" t="n">
        <f aca="false">SUM(B24:M24)</f>
        <v>415800</v>
      </c>
      <c r="P24" s="23" t="n">
        <f aca="false">IF(O26=0,0,O24/O26)</f>
        <v>0.55</v>
      </c>
    </row>
    <row r="25" customFormat="false" ht="16.5" hidden="false" customHeight="true" outlineLevel="0" collapsed="false">
      <c r="A25" s="11" t="s">
        <v>74</v>
      </c>
      <c r="B25" s="50" t="n">
        <f aca="false">$B$4*B$16*0.1</f>
        <v>6300</v>
      </c>
      <c r="C25" s="50" t="n">
        <f aca="false">$B$4*C$16*0.1</f>
        <v>7056</v>
      </c>
      <c r="D25" s="50" t="n">
        <f aca="false">$B$4*D$16*0.1</f>
        <v>5166</v>
      </c>
      <c r="E25" s="50" t="n">
        <f aca="false">$B$4*E$16*0.1</f>
        <v>5355</v>
      </c>
      <c r="F25" s="50" t="n">
        <f aca="false">$B$4*F$16*0.1</f>
        <v>6804</v>
      </c>
      <c r="G25" s="50" t="n">
        <f aca="false">$B$4*G$16*0.1</f>
        <v>7434</v>
      </c>
      <c r="H25" s="50" t="n">
        <f aca="false">$B$4*H$16*0.1</f>
        <v>7686</v>
      </c>
      <c r="I25" s="50" t="n">
        <f aca="false">$B$4*I$16*0.1</f>
        <v>7245</v>
      </c>
      <c r="J25" s="50" t="n">
        <f aca="false">$B$4*J$16*0.1</f>
        <v>5544</v>
      </c>
      <c r="K25" s="50" t="n">
        <f aca="false">$B$4*K$16*0.1</f>
        <v>6615</v>
      </c>
      <c r="L25" s="50" t="n">
        <f aca="false">$B$4*L$16*0.1</f>
        <v>5166</v>
      </c>
      <c r="M25" s="50" t="n">
        <f aca="false">$B$4*M$16*0.1</f>
        <v>5229</v>
      </c>
      <c r="O25" s="50" t="n">
        <f aca="false">SUM(B25:M25)</f>
        <v>75600</v>
      </c>
      <c r="P25" s="25" t="n">
        <f aca="false">IF(O26=0,0,O25/O26)</f>
        <v>0.1</v>
      </c>
    </row>
    <row r="26" customFormat="false" ht="16.5" hidden="false" customHeight="true" outlineLevel="0" collapsed="false">
      <c r="A26" s="52" t="s">
        <v>75</v>
      </c>
      <c r="B26" s="53" t="n">
        <f aca="false">B23+B24+B25</f>
        <v>63000</v>
      </c>
      <c r="C26" s="53" t="n">
        <f aca="false">C23+C24+C25</f>
        <v>70560</v>
      </c>
      <c r="D26" s="53" t="n">
        <f aca="false">D23+D24+D25</f>
        <v>51660</v>
      </c>
      <c r="E26" s="53" t="n">
        <f aca="false">E23+E24+E25</f>
        <v>53550</v>
      </c>
      <c r="F26" s="53" t="n">
        <f aca="false">F23+F24+F25</f>
        <v>68040</v>
      </c>
      <c r="G26" s="53" t="n">
        <f aca="false">G23+G24+G25</f>
        <v>74340</v>
      </c>
      <c r="H26" s="53" t="n">
        <f aca="false">H23+H24+H25</f>
        <v>76860</v>
      </c>
      <c r="I26" s="53" t="n">
        <f aca="false">I23+I24+I25</f>
        <v>72450</v>
      </c>
      <c r="J26" s="53" t="n">
        <f aca="false">J23+J24+J25</f>
        <v>55440</v>
      </c>
      <c r="K26" s="53" t="n">
        <f aca="false">K23+K24+K25</f>
        <v>66150</v>
      </c>
      <c r="L26" s="53" t="n">
        <f aca="false">L23+L24+L25</f>
        <v>51660</v>
      </c>
      <c r="M26" s="53" t="n">
        <f aca="false">M23+M24+M25</f>
        <v>52290</v>
      </c>
      <c r="O26" s="54" t="n">
        <f aca="false">SUM(B26:M26)</f>
        <v>756000</v>
      </c>
      <c r="P26" s="55" t="n">
        <f aca="false">IF(O26=0,0,O26/O26)</f>
        <v>1</v>
      </c>
    </row>
    <row r="27" customFormat="false" ht="6" hidden="false" customHeight="true" outlineLevel="0" collapsed="false"/>
    <row r="28" customFormat="false" ht="16.5" hidden="false" customHeight="true" outlineLevel="0" collapsed="false">
      <c r="A28" s="48" t="s">
        <v>76</v>
      </c>
      <c r="O28" s="49"/>
      <c r="P28" s="49"/>
    </row>
    <row r="29" customFormat="false" ht="16.5" hidden="false" customHeight="true" outlineLevel="0" collapsed="false">
      <c r="A29" s="11" t="s">
        <v>77</v>
      </c>
      <c r="B29" s="50" t="n">
        <f aca="false">B26*($B$5+B$17)</f>
        <v>17010</v>
      </c>
      <c r="C29" s="50" t="n">
        <f aca="false">C26*($B$5+C$17)</f>
        <v>19051.2</v>
      </c>
      <c r="D29" s="50" t="n">
        <f aca="false">D26*($B$5+D$17)</f>
        <v>13948.2</v>
      </c>
      <c r="E29" s="50" t="n">
        <f aca="false">E26*($B$5+E$17)</f>
        <v>14458.5</v>
      </c>
      <c r="F29" s="50" t="n">
        <f aca="false">F26*($B$5+F$17)</f>
        <v>19051.2</v>
      </c>
      <c r="G29" s="50" t="n">
        <f aca="false">G26*($B$5+G$17)</f>
        <v>20815.2</v>
      </c>
      <c r="H29" s="50" t="n">
        <f aca="false">H26*($B$5+H$17)</f>
        <v>21905.1</v>
      </c>
      <c r="I29" s="50" t="n">
        <f aca="false">I26*($B$5+I$17)</f>
        <v>20286</v>
      </c>
      <c r="J29" s="50" t="n">
        <f aca="false">J26*($B$5+J$17)</f>
        <v>14968.8</v>
      </c>
      <c r="K29" s="50" t="n">
        <f aca="false">K26*($B$5+K$17)</f>
        <v>17860.5</v>
      </c>
      <c r="L29" s="50" t="n">
        <f aca="false">L26*($B$5+L$17)</f>
        <v>13948.2</v>
      </c>
      <c r="M29" s="50" t="n">
        <f aca="false">M26*($B$5+M$17)</f>
        <v>14118.3</v>
      </c>
      <c r="O29" s="50" t="n">
        <f aca="false">SUM(B29:M29)</f>
        <v>207421.2</v>
      </c>
      <c r="P29" s="25" t="n">
        <f aca="false">IF(O26=0,0,O29/O26)</f>
        <v>0.274366666666667</v>
      </c>
    </row>
    <row r="30" customFormat="false" ht="16.5" hidden="false" customHeight="true" outlineLevel="0" collapsed="false">
      <c r="A30" s="16" t="s">
        <v>78</v>
      </c>
      <c r="B30" s="51" t="n">
        <f aca="false">B26*$B$6</f>
        <v>1260</v>
      </c>
      <c r="C30" s="51" t="n">
        <f aca="false">C26*$B$6</f>
        <v>1411.2</v>
      </c>
      <c r="D30" s="51" t="n">
        <f aca="false">D26*$B$6</f>
        <v>1033.2</v>
      </c>
      <c r="E30" s="51" t="n">
        <f aca="false">E26*$B$6</f>
        <v>1071</v>
      </c>
      <c r="F30" s="51" t="n">
        <f aca="false">F26*$B$6</f>
        <v>1360.8</v>
      </c>
      <c r="G30" s="51" t="n">
        <f aca="false">G26*$B$6</f>
        <v>1486.8</v>
      </c>
      <c r="H30" s="51" t="n">
        <f aca="false">H26*$B$6</f>
        <v>1537.2</v>
      </c>
      <c r="I30" s="51" t="n">
        <f aca="false">I26*$B$6</f>
        <v>1449</v>
      </c>
      <c r="J30" s="51" t="n">
        <f aca="false">J26*$B$6</f>
        <v>1108.8</v>
      </c>
      <c r="K30" s="51" t="n">
        <f aca="false">K26*$B$6</f>
        <v>1323</v>
      </c>
      <c r="L30" s="51" t="n">
        <f aca="false">L26*$B$6</f>
        <v>1033.2</v>
      </c>
      <c r="M30" s="51" t="n">
        <f aca="false">M26*$B$6</f>
        <v>1045.8</v>
      </c>
      <c r="O30" s="51" t="n">
        <f aca="false">SUM(B30:M30)</f>
        <v>15120</v>
      </c>
      <c r="P30" s="23" t="n">
        <f aca="false">IF(O26=0,0,O30/O26)</f>
        <v>0.02</v>
      </c>
    </row>
    <row r="31" customFormat="false" ht="16.5" hidden="false" customHeight="true" outlineLevel="0" collapsed="false">
      <c r="A31" s="56" t="s">
        <v>8</v>
      </c>
      <c r="B31" s="53" t="n">
        <f aca="false">B29+B30</f>
        <v>18270</v>
      </c>
      <c r="C31" s="53" t="n">
        <f aca="false">C29+C30</f>
        <v>20462.4</v>
      </c>
      <c r="D31" s="53" t="n">
        <f aca="false">D29+D30</f>
        <v>14981.4</v>
      </c>
      <c r="E31" s="53" t="n">
        <f aca="false">E29+E30</f>
        <v>15529.5</v>
      </c>
      <c r="F31" s="53" t="n">
        <f aca="false">F29+F30</f>
        <v>20412</v>
      </c>
      <c r="G31" s="53" t="n">
        <f aca="false">G29+G30</f>
        <v>22302</v>
      </c>
      <c r="H31" s="53" t="n">
        <f aca="false">H29+H30</f>
        <v>23442.3</v>
      </c>
      <c r="I31" s="53" t="n">
        <f aca="false">I29+I30</f>
        <v>21735</v>
      </c>
      <c r="J31" s="53" t="n">
        <f aca="false">J29+J30</f>
        <v>16077.6</v>
      </c>
      <c r="K31" s="53" t="n">
        <f aca="false">K29+K30</f>
        <v>19183.5</v>
      </c>
      <c r="L31" s="53" t="n">
        <f aca="false">L29+L30</f>
        <v>14981.4</v>
      </c>
      <c r="M31" s="53" t="n">
        <f aca="false">M29+M30</f>
        <v>15164.1</v>
      </c>
      <c r="O31" s="54" t="n">
        <f aca="false">SUM(B31:M31)</f>
        <v>222541.2</v>
      </c>
      <c r="P31" s="55" t="n">
        <f aca="false">IF(O26=0,0,O31/O26)</f>
        <v>0.294366666666667</v>
      </c>
    </row>
    <row r="32" customFormat="false" ht="6" hidden="false" customHeight="true" outlineLevel="0" collapsed="false"/>
    <row r="33" customFormat="false" ht="16.5" hidden="false" customHeight="true" outlineLevel="0" collapsed="false">
      <c r="A33" s="56" t="s">
        <v>79</v>
      </c>
      <c r="B33" s="53" t="n">
        <f aca="false">B26-B31</f>
        <v>44730</v>
      </c>
      <c r="C33" s="53" t="n">
        <f aca="false">C26-C31</f>
        <v>50097.6</v>
      </c>
      <c r="D33" s="53" t="n">
        <f aca="false">D26-D31</f>
        <v>36678.6</v>
      </c>
      <c r="E33" s="53" t="n">
        <f aca="false">E26-E31</f>
        <v>38020.5</v>
      </c>
      <c r="F33" s="53" t="n">
        <f aca="false">F26-F31</f>
        <v>47628</v>
      </c>
      <c r="G33" s="53" t="n">
        <f aca="false">G26-G31</f>
        <v>52038</v>
      </c>
      <c r="H33" s="53" t="n">
        <f aca="false">H26-H31</f>
        <v>53417.7</v>
      </c>
      <c r="I33" s="53" t="n">
        <f aca="false">I26-I31</f>
        <v>50715</v>
      </c>
      <c r="J33" s="53" t="n">
        <f aca="false">J26-J31</f>
        <v>39362.4</v>
      </c>
      <c r="K33" s="53" t="n">
        <f aca="false">K26-K31</f>
        <v>46966.5</v>
      </c>
      <c r="L33" s="53" t="n">
        <f aca="false">L26-L31</f>
        <v>36678.6</v>
      </c>
      <c r="M33" s="53" t="n">
        <f aca="false">M26-M31</f>
        <v>37125.9</v>
      </c>
      <c r="O33" s="54" t="n">
        <f aca="false">SUM(B33:M33)</f>
        <v>533458.8</v>
      </c>
      <c r="P33" s="55" t="n">
        <f aca="false">IF(O26=0,0,O33/O26)</f>
        <v>0.705633333333333</v>
      </c>
    </row>
    <row r="34" customFormat="false" ht="16.5" hidden="false" customHeight="true" outlineLevel="0" collapsed="false">
      <c r="A34" s="16" t="s">
        <v>10</v>
      </c>
      <c r="B34" s="23" t="n">
        <f aca="false">IF(B26=0,0,B33/B26)</f>
        <v>0.71</v>
      </c>
      <c r="C34" s="23" t="n">
        <f aca="false">IF(C26=0,0,C33/C26)</f>
        <v>0.71</v>
      </c>
      <c r="D34" s="23" t="n">
        <f aca="false">IF(D26=0,0,D33/D26)</f>
        <v>0.71</v>
      </c>
      <c r="E34" s="23" t="n">
        <f aca="false">IF(E26=0,0,E33/E26)</f>
        <v>0.71</v>
      </c>
      <c r="F34" s="23" t="n">
        <f aca="false">IF(F26=0,0,F33/F26)</f>
        <v>0.7</v>
      </c>
      <c r="G34" s="23" t="n">
        <f aca="false">IF(G26=0,0,G33/G26)</f>
        <v>0.7</v>
      </c>
      <c r="H34" s="23" t="n">
        <f aca="false">IF(H26=0,0,H33/H26)</f>
        <v>0.695</v>
      </c>
      <c r="I34" s="23" t="n">
        <f aca="false">IF(I26=0,0,I33/I26)</f>
        <v>0.7</v>
      </c>
      <c r="J34" s="23" t="n">
        <f aca="false">IF(J26=0,0,J33/J26)</f>
        <v>0.71</v>
      </c>
      <c r="K34" s="23" t="n">
        <f aca="false">IF(K26=0,0,K33/K26)</f>
        <v>0.71</v>
      </c>
      <c r="L34" s="23" t="n">
        <f aca="false">IF(L26=0,0,L33/L26)</f>
        <v>0.71</v>
      </c>
      <c r="M34" s="23" t="n">
        <f aca="false">IF(M26=0,0,M33/M26)</f>
        <v>0.71</v>
      </c>
      <c r="O34" s="23" t="n">
        <f aca="false">IF(O26=0,0,O33/O26)</f>
        <v>0.705633333333333</v>
      </c>
      <c r="P34" s="23" t="n">
        <f aca="false">IF(O26=0,0,O33/O26)</f>
        <v>0.705633333333333</v>
      </c>
    </row>
    <row r="35" customFormat="false" ht="6" hidden="false" customHeight="true" outlineLevel="0" collapsed="false"/>
    <row r="36" customFormat="false" ht="16.5" hidden="false" customHeight="true" outlineLevel="0" collapsed="false">
      <c r="A36" s="48" t="s">
        <v>80</v>
      </c>
      <c r="O36" s="49"/>
      <c r="P36" s="49"/>
    </row>
    <row r="37" customFormat="false" ht="16.5" hidden="false" customHeight="true" outlineLevel="0" collapsed="false">
      <c r="A37" s="11" t="s">
        <v>81</v>
      </c>
      <c r="B37" s="50" t="n">
        <f aca="false">B26*$B$7</f>
        <v>13860</v>
      </c>
      <c r="C37" s="50" t="n">
        <f aca="false">C26*$B$7</f>
        <v>15523.2</v>
      </c>
      <c r="D37" s="50" t="n">
        <f aca="false">D26*$B$7</f>
        <v>11365.2</v>
      </c>
      <c r="E37" s="50" t="n">
        <f aca="false">E26*$B$7</f>
        <v>11781</v>
      </c>
      <c r="F37" s="50" t="n">
        <f aca="false">F26*$B$7</f>
        <v>14968.8</v>
      </c>
      <c r="G37" s="50" t="n">
        <f aca="false">G26*$B$7</f>
        <v>16354.8</v>
      </c>
      <c r="H37" s="50" t="n">
        <f aca="false">H26*$B$7</f>
        <v>16909.2</v>
      </c>
      <c r="I37" s="50" t="n">
        <f aca="false">I26*$B$7</f>
        <v>15939</v>
      </c>
      <c r="J37" s="50" t="n">
        <f aca="false">J26*$B$7</f>
        <v>12196.8</v>
      </c>
      <c r="K37" s="50" t="n">
        <f aca="false">K26*$B$7</f>
        <v>14553</v>
      </c>
      <c r="L37" s="50" t="n">
        <f aca="false">L26*$B$7</f>
        <v>11365.2</v>
      </c>
      <c r="M37" s="50" t="n">
        <f aca="false">M26*$B$7</f>
        <v>11503.8</v>
      </c>
      <c r="O37" s="50" t="n">
        <f aca="false">SUM(B37:M37)</f>
        <v>166320</v>
      </c>
      <c r="P37" s="25" t="n">
        <f aca="false">IF(O26=0,0,O37/O26)</f>
        <v>0.22</v>
      </c>
    </row>
    <row r="38" customFormat="false" ht="16.5" hidden="false" customHeight="true" outlineLevel="0" collapsed="false">
      <c r="A38" s="16" t="s">
        <v>82</v>
      </c>
      <c r="B38" s="17" t="n">
        <f aca="false">$B$8</f>
        <v>3500</v>
      </c>
      <c r="C38" s="17" t="n">
        <f aca="false">$B$8</f>
        <v>3500</v>
      </c>
      <c r="D38" s="17" t="n">
        <f aca="false">$B$8</f>
        <v>3500</v>
      </c>
      <c r="E38" s="17" t="n">
        <f aca="false">$B$8</f>
        <v>3500</v>
      </c>
      <c r="F38" s="17" t="n">
        <f aca="false">$B$8</f>
        <v>3500</v>
      </c>
      <c r="G38" s="17" t="n">
        <f aca="false">$B$8</f>
        <v>3500</v>
      </c>
      <c r="H38" s="17" t="n">
        <f aca="false">$B$8</f>
        <v>3500</v>
      </c>
      <c r="I38" s="17" t="n">
        <f aca="false">$B$8</f>
        <v>3500</v>
      </c>
      <c r="J38" s="17" t="n">
        <f aca="false">$B$8</f>
        <v>3500</v>
      </c>
      <c r="K38" s="17" t="n">
        <f aca="false">$B$8</f>
        <v>3500</v>
      </c>
      <c r="L38" s="17" t="n">
        <f aca="false">$B$8</f>
        <v>3500</v>
      </c>
      <c r="M38" s="17" t="n">
        <f aca="false">$B$8</f>
        <v>3500</v>
      </c>
      <c r="O38" s="51" t="n">
        <f aca="false">SUM(B38:M38)</f>
        <v>42000</v>
      </c>
      <c r="P38" s="23" t="n">
        <f aca="false">IF(O26=0,0,O38/O26)</f>
        <v>0.0555555555555556</v>
      </c>
    </row>
    <row r="39" customFormat="false" ht="16.5" hidden="false" customHeight="true" outlineLevel="0" collapsed="false">
      <c r="A39" s="11" t="s">
        <v>83</v>
      </c>
      <c r="B39" s="12" t="n">
        <f aca="false">$B$9</f>
        <v>5800</v>
      </c>
      <c r="C39" s="12" t="n">
        <f aca="false">$B$9</f>
        <v>5800</v>
      </c>
      <c r="D39" s="12" t="n">
        <f aca="false">$B$9</f>
        <v>5800</v>
      </c>
      <c r="E39" s="12" t="n">
        <f aca="false">$B$9</f>
        <v>5800</v>
      </c>
      <c r="F39" s="12" t="n">
        <f aca="false">$B$9</f>
        <v>5800</v>
      </c>
      <c r="G39" s="12" t="n">
        <f aca="false">$B$9</f>
        <v>5800</v>
      </c>
      <c r="H39" s="12" t="n">
        <f aca="false">$B$9</f>
        <v>5800</v>
      </c>
      <c r="I39" s="12" t="n">
        <f aca="false">$B$9</f>
        <v>5800</v>
      </c>
      <c r="J39" s="12" t="n">
        <f aca="false">$B$9</f>
        <v>5800</v>
      </c>
      <c r="K39" s="12" t="n">
        <f aca="false">$B$9</f>
        <v>5800</v>
      </c>
      <c r="L39" s="12" t="n">
        <f aca="false">$B$9</f>
        <v>5800</v>
      </c>
      <c r="M39" s="12" t="n">
        <f aca="false">$B$9</f>
        <v>5800</v>
      </c>
      <c r="O39" s="50" t="n">
        <f aca="false">SUM(B39:M39)</f>
        <v>69600</v>
      </c>
      <c r="P39" s="25" t="n">
        <f aca="false">IF(O26=0,0,O39/O26)</f>
        <v>0.0920634920634921</v>
      </c>
    </row>
    <row r="40" customFormat="false" ht="16.5" hidden="false" customHeight="true" outlineLevel="0" collapsed="false">
      <c r="A40" s="16" t="s">
        <v>84</v>
      </c>
      <c r="B40" s="51" t="n">
        <f aca="false">$B$10*B$18</f>
        <v>1265</v>
      </c>
      <c r="C40" s="51" t="n">
        <f aca="false">$B$10*C$18</f>
        <v>1265</v>
      </c>
      <c r="D40" s="51" t="n">
        <f aca="false">$B$10*D$18</f>
        <v>1100</v>
      </c>
      <c r="E40" s="51" t="n">
        <f aca="false">$B$10*E$18</f>
        <v>990</v>
      </c>
      <c r="F40" s="51" t="n">
        <f aca="false">$B$10*F$18</f>
        <v>1045</v>
      </c>
      <c r="G40" s="51" t="n">
        <f aca="false">$B$10*G$18</f>
        <v>1155</v>
      </c>
      <c r="H40" s="51" t="n">
        <f aca="false">$B$10*H$18</f>
        <v>1298</v>
      </c>
      <c r="I40" s="51" t="n">
        <f aca="false">$B$10*I$18</f>
        <v>1298</v>
      </c>
      <c r="J40" s="51" t="n">
        <f aca="false">$B$10*J$18</f>
        <v>1045</v>
      </c>
      <c r="K40" s="51" t="n">
        <f aca="false">$B$10*K$18</f>
        <v>990</v>
      </c>
      <c r="L40" s="51" t="n">
        <f aca="false">$B$10*L$18</f>
        <v>1100</v>
      </c>
      <c r="M40" s="51" t="n">
        <f aca="false">$B$10*M$18</f>
        <v>1210</v>
      </c>
      <c r="O40" s="51" t="n">
        <f aca="false">SUM(B40:M40)</f>
        <v>13761</v>
      </c>
      <c r="P40" s="23" t="n">
        <f aca="false">IF(O26=0,0,O40/O26)</f>
        <v>0.018202380952381</v>
      </c>
    </row>
    <row r="41" customFormat="false" ht="16.5" hidden="false" customHeight="true" outlineLevel="0" collapsed="false">
      <c r="A41" s="11" t="s">
        <v>85</v>
      </c>
      <c r="B41" s="50" t="n">
        <f aca="false">B26*$B$11</f>
        <v>2520</v>
      </c>
      <c r="C41" s="50" t="n">
        <f aca="false">C26*$B$11</f>
        <v>2822.4</v>
      </c>
      <c r="D41" s="50" t="n">
        <f aca="false">D26*$B$11</f>
        <v>2066.4</v>
      </c>
      <c r="E41" s="50" t="n">
        <f aca="false">E26*$B$11</f>
        <v>2142</v>
      </c>
      <c r="F41" s="50" t="n">
        <f aca="false">F26*$B$11</f>
        <v>2721.6</v>
      </c>
      <c r="G41" s="50" t="n">
        <f aca="false">G26*$B$11</f>
        <v>2973.6</v>
      </c>
      <c r="H41" s="50" t="n">
        <f aca="false">H26*$B$11</f>
        <v>3074.4</v>
      </c>
      <c r="I41" s="50" t="n">
        <f aca="false">I26*$B$11</f>
        <v>2898</v>
      </c>
      <c r="J41" s="50" t="n">
        <f aca="false">J26*$B$11</f>
        <v>2217.6</v>
      </c>
      <c r="K41" s="50" t="n">
        <f aca="false">K26*$B$11</f>
        <v>2646</v>
      </c>
      <c r="L41" s="50" t="n">
        <f aca="false">L26*$B$11</f>
        <v>2066.4</v>
      </c>
      <c r="M41" s="50" t="n">
        <f aca="false">M26*$B$11</f>
        <v>2091.6</v>
      </c>
      <c r="O41" s="50" t="n">
        <f aca="false">SUM(B41:M41)</f>
        <v>30240</v>
      </c>
      <c r="P41" s="25" t="n">
        <f aca="false">IF(O26=0,0,O41/O26)</f>
        <v>0.04</v>
      </c>
    </row>
    <row r="42" customFormat="false" ht="16.5" hidden="false" customHeight="true" outlineLevel="0" collapsed="false">
      <c r="A42" s="16" t="s">
        <v>86</v>
      </c>
      <c r="B42" s="17" t="n">
        <f aca="false">$B$12</f>
        <v>400</v>
      </c>
      <c r="C42" s="17" t="n">
        <f aca="false">$B$12</f>
        <v>400</v>
      </c>
      <c r="D42" s="17" t="n">
        <f aca="false">$B$12</f>
        <v>400</v>
      </c>
      <c r="E42" s="17" t="n">
        <f aca="false">$B$12</f>
        <v>400</v>
      </c>
      <c r="F42" s="17" t="n">
        <f aca="false">$B$12</f>
        <v>400</v>
      </c>
      <c r="G42" s="17" t="n">
        <f aca="false">$B$12</f>
        <v>400</v>
      </c>
      <c r="H42" s="17" t="n">
        <f aca="false">$B$12</f>
        <v>400</v>
      </c>
      <c r="I42" s="17" t="n">
        <f aca="false">$B$12</f>
        <v>400</v>
      </c>
      <c r="J42" s="17" t="n">
        <f aca="false">$B$12</f>
        <v>400</v>
      </c>
      <c r="K42" s="17" t="n">
        <f aca="false">$B$12</f>
        <v>400</v>
      </c>
      <c r="L42" s="17" t="n">
        <f aca="false">$B$12</f>
        <v>400</v>
      </c>
      <c r="M42" s="17" t="n">
        <f aca="false">$B$12</f>
        <v>400</v>
      </c>
      <c r="O42" s="51" t="n">
        <f aca="false">SUM(B42:M42)</f>
        <v>4800</v>
      </c>
      <c r="P42" s="23" t="n">
        <f aca="false">IF(O26=0,0,O42/O26)</f>
        <v>0.00634920634920635</v>
      </c>
    </row>
    <row r="43" customFormat="false" ht="16.5" hidden="false" customHeight="true" outlineLevel="0" collapsed="false">
      <c r="A43" s="56" t="s">
        <v>11</v>
      </c>
      <c r="B43" s="53" t="n">
        <f aca="false">B37+B38+B39+B40+B41+B42</f>
        <v>27345</v>
      </c>
      <c r="C43" s="53" t="n">
        <f aca="false">C37+C38+C39+C40+C41+C42</f>
        <v>29310.6</v>
      </c>
      <c r="D43" s="53" t="n">
        <f aca="false">D37+D38+D39+D40+D41+D42</f>
        <v>24231.6</v>
      </c>
      <c r="E43" s="53" t="n">
        <f aca="false">E37+E38+E39+E40+E41+E42</f>
        <v>24613</v>
      </c>
      <c r="F43" s="53" t="n">
        <f aca="false">F37+F38+F39+F40+F41+F42</f>
        <v>28435.4</v>
      </c>
      <c r="G43" s="53" t="n">
        <f aca="false">G37+G38+G39+G40+G41+G42</f>
        <v>30183.4</v>
      </c>
      <c r="H43" s="53" t="n">
        <f aca="false">H37+H38+H39+H40+H41+H42</f>
        <v>30981.6</v>
      </c>
      <c r="I43" s="53" t="n">
        <f aca="false">I37+I38+I39+I40+I41+I42</f>
        <v>29835</v>
      </c>
      <c r="J43" s="53" t="n">
        <f aca="false">J37+J38+J39+J40+J41+J42</f>
        <v>25159.4</v>
      </c>
      <c r="K43" s="53" t="n">
        <f aca="false">K37+K38+K39+K40+K41+K42</f>
        <v>27889</v>
      </c>
      <c r="L43" s="53" t="n">
        <f aca="false">L37+L38+L39+L40+L41+L42</f>
        <v>24231.6</v>
      </c>
      <c r="M43" s="53" t="n">
        <f aca="false">M37+M38+M39+M40+M41+M42</f>
        <v>24505.4</v>
      </c>
      <c r="O43" s="54" t="n">
        <f aca="false">SUM(B43:M43)</f>
        <v>326721</v>
      </c>
      <c r="P43" s="55" t="n">
        <f aca="false">IF(O26=0,0,O43/O26)</f>
        <v>0.432170634920635</v>
      </c>
    </row>
    <row r="44" customFormat="false" ht="6" hidden="false" customHeight="true" outlineLevel="0" collapsed="false"/>
    <row r="45" customFormat="false" ht="16.5" hidden="false" customHeight="true" outlineLevel="0" collapsed="false">
      <c r="A45" s="56" t="s">
        <v>87</v>
      </c>
      <c r="B45" s="53" t="n">
        <f aca="false">B33-B43</f>
        <v>17385</v>
      </c>
      <c r="C45" s="53" t="n">
        <f aca="false">C33-C43</f>
        <v>20787</v>
      </c>
      <c r="D45" s="53" t="n">
        <f aca="false">D33-D43</f>
        <v>12447</v>
      </c>
      <c r="E45" s="53" t="n">
        <f aca="false">E33-E43</f>
        <v>13407.5</v>
      </c>
      <c r="F45" s="53" t="n">
        <f aca="false">F33-F43</f>
        <v>19192.6</v>
      </c>
      <c r="G45" s="53" t="n">
        <f aca="false">G33-G43</f>
        <v>21854.6</v>
      </c>
      <c r="H45" s="53" t="n">
        <f aca="false">H33-H43</f>
        <v>22436.1</v>
      </c>
      <c r="I45" s="53" t="n">
        <f aca="false">I33-I43</f>
        <v>20880</v>
      </c>
      <c r="J45" s="53" t="n">
        <f aca="false">J33-J43</f>
        <v>14203</v>
      </c>
      <c r="K45" s="53" t="n">
        <f aca="false">K33-K43</f>
        <v>19077.5</v>
      </c>
      <c r="L45" s="53" t="n">
        <f aca="false">L33-L43</f>
        <v>12447</v>
      </c>
      <c r="M45" s="53" t="n">
        <f aca="false">M33-M43</f>
        <v>12620.5</v>
      </c>
      <c r="O45" s="54" t="n">
        <f aca="false">SUM(B45:M45)</f>
        <v>206737.8</v>
      </c>
      <c r="P45" s="55" t="n">
        <f aca="false">IF(O26=0,0,O45/O26)</f>
        <v>0.273462698412698</v>
      </c>
    </row>
    <row r="46" customFormat="false" ht="16.5" hidden="false" customHeight="true" outlineLevel="0" collapsed="false">
      <c r="A46" s="16" t="s">
        <v>88</v>
      </c>
      <c r="B46" s="23" t="n">
        <f aca="false">IF(B26=0,0,B45/B26)</f>
        <v>0.275952380952381</v>
      </c>
      <c r="C46" s="23" t="n">
        <f aca="false">IF(C26=0,0,C45/C26)</f>
        <v>0.294600340136054</v>
      </c>
      <c r="D46" s="23" t="n">
        <f aca="false">IF(D26=0,0,D45/D26)</f>
        <v>0.240940766550523</v>
      </c>
      <c r="E46" s="23" t="n">
        <f aca="false">IF(E26=0,0,E45/E26)</f>
        <v>0.250373482726424</v>
      </c>
      <c r="F46" s="23" t="n">
        <f aca="false">IF(F26=0,0,F45/F26)</f>
        <v>0.282078189300412</v>
      </c>
      <c r="G46" s="23" t="n">
        <f aca="false">IF(G26=0,0,G45/G26)</f>
        <v>0.293981705676621</v>
      </c>
      <c r="H46" s="23" t="n">
        <f aca="false">IF(H26=0,0,H45/H26)</f>
        <v>0.291908665105386</v>
      </c>
      <c r="I46" s="23" t="n">
        <f aca="false">IF(I26=0,0,I45/I26)</f>
        <v>0.288198757763975</v>
      </c>
      <c r="J46" s="23" t="n">
        <f aca="false">IF(J26=0,0,J45/J26)</f>
        <v>0.256186868686869</v>
      </c>
      <c r="K46" s="23" t="n">
        <f aca="false">IF(K26=0,0,K45/K26)</f>
        <v>0.288397581254724</v>
      </c>
      <c r="L46" s="23" t="n">
        <f aca="false">IF(L26=0,0,L45/L26)</f>
        <v>0.240940766550523</v>
      </c>
      <c r="M46" s="23" t="n">
        <f aca="false">IF(M26=0,0,M45/M26)</f>
        <v>0.241355899789635</v>
      </c>
      <c r="O46" s="23" t="n">
        <f aca="false">IF(O26=0,0,O45/O26)</f>
        <v>0.273462698412698</v>
      </c>
      <c r="P46" s="23" t="n">
        <f aca="false">IF(O26=0,0,O45/O26)</f>
        <v>0.273462698412698</v>
      </c>
    </row>
  </sheetData>
  <mergeCells count="5">
    <mergeCell ref="A1:P1"/>
    <mergeCell ref="A2:P2"/>
    <mergeCell ref="A3:P3"/>
    <mergeCell ref="A14:P14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14" min="2" style="0" width="10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27.75" hidden="false" customHeight="true" outlineLevel="0" collapsed="false">
      <c r="A1" s="33" t="s">
        <v>90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1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19" t="s">
        <v>36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customFormat="false" ht="16.5" hidden="false" customHeight="true" outlineLevel="0" collapsed="false">
      <c r="A4" s="16" t="s">
        <v>37</v>
      </c>
      <c r="B4" s="34" t="n">
        <v>58000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customFormat="false" ht="16.5" hidden="false" customHeight="true" outlineLevel="0" collapsed="false">
      <c r="A5" s="11" t="s">
        <v>38</v>
      </c>
      <c r="B5" s="36" t="n">
        <v>0.27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customFormat="false" ht="16.5" hidden="false" customHeight="true" outlineLevel="0" collapsed="false">
      <c r="A6" s="16" t="s">
        <v>39</v>
      </c>
      <c r="B6" s="36" t="n">
        <v>0.02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customFormat="false" ht="16.5" hidden="false" customHeight="true" outlineLevel="0" collapsed="false">
      <c r="A7" s="11" t="s">
        <v>40</v>
      </c>
      <c r="B7" s="36" t="n">
        <v>0.22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customFormat="false" ht="16.5" hidden="false" customHeight="true" outlineLevel="0" collapsed="false">
      <c r="A8" s="16" t="s">
        <v>41</v>
      </c>
      <c r="B8" s="34" t="n">
        <v>3500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customFormat="false" ht="16.5" hidden="false" customHeight="true" outlineLevel="0" collapsed="false">
      <c r="A9" s="11" t="s">
        <v>42</v>
      </c>
      <c r="B9" s="34" t="n">
        <v>5500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customFormat="false" ht="16.5" hidden="false" customHeight="true" outlineLevel="0" collapsed="false">
      <c r="A10" s="16" t="s">
        <v>43</v>
      </c>
      <c r="B10" s="34" t="n">
        <v>1100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customFormat="false" ht="16.5" hidden="false" customHeight="true" outlineLevel="0" collapsed="false">
      <c r="A11" s="11" t="s">
        <v>44</v>
      </c>
      <c r="B11" s="36" t="n">
        <v>0.04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customFormat="false" ht="16.5" hidden="false" customHeight="true" outlineLevel="0" collapsed="false">
      <c r="A12" s="16" t="s">
        <v>45</v>
      </c>
      <c r="B12" s="34" t="n">
        <v>400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customFormat="false" ht="7.5" hidden="false" customHeight="true" outlineLevel="0" collapsed="false"/>
    <row r="14" customFormat="false" ht="18" hidden="false" customHeight="true" outlineLevel="0" collapsed="false">
      <c r="A14" s="19" t="s">
        <v>46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customFormat="false" ht="15.75" hidden="false" customHeight="true" outlineLevel="0" collapsed="false">
      <c r="A15" s="38"/>
      <c r="B15" s="39" t="s">
        <v>47</v>
      </c>
      <c r="C15" s="39" t="s">
        <v>48</v>
      </c>
      <c r="D15" s="39" t="s">
        <v>49</v>
      </c>
      <c r="E15" s="39" t="s">
        <v>50</v>
      </c>
      <c r="F15" s="39" t="s">
        <v>51</v>
      </c>
      <c r="G15" s="39" t="s">
        <v>52</v>
      </c>
      <c r="H15" s="39" t="s">
        <v>53</v>
      </c>
      <c r="I15" s="39" t="s">
        <v>54</v>
      </c>
      <c r="J15" s="39" t="s">
        <v>55</v>
      </c>
      <c r="K15" s="39" t="s">
        <v>56</v>
      </c>
      <c r="L15" s="39" t="s">
        <v>57</v>
      </c>
      <c r="M15" s="39" t="s">
        <v>58</v>
      </c>
      <c r="O15" s="40" t="s">
        <v>59</v>
      </c>
      <c r="P15" s="40" t="s">
        <v>60</v>
      </c>
    </row>
    <row r="16" customFormat="false" ht="16.5" hidden="false" customHeight="true" outlineLevel="0" collapsed="false">
      <c r="A16" s="16" t="s">
        <v>61</v>
      </c>
      <c r="B16" s="41" t="n">
        <v>1</v>
      </c>
      <c r="C16" s="41" t="n">
        <v>1.12</v>
      </c>
      <c r="D16" s="41" t="n">
        <v>0.82</v>
      </c>
      <c r="E16" s="41" t="n">
        <v>0.85</v>
      </c>
      <c r="F16" s="41" t="n">
        <v>1.08</v>
      </c>
      <c r="G16" s="41" t="n">
        <v>1.18</v>
      </c>
      <c r="H16" s="41" t="n">
        <v>1.22</v>
      </c>
      <c r="I16" s="41" t="n">
        <v>1.15</v>
      </c>
      <c r="J16" s="41" t="n">
        <v>0.88</v>
      </c>
      <c r="K16" s="41" t="n">
        <v>1.05</v>
      </c>
      <c r="L16" s="41" t="n">
        <v>0.82</v>
      </c>
      <c r="M16" s="41" t="n">
        <v>0.83</v>
      </c>
      <c r="O16" s="42" t="n">
        <f aca="false">AVERAGE(B16:M16)</f>
        <v>1</v>
      </c>
      <c r="P16" s="43" t="s">
        <v>62</v>
      </c>
    </row>
    <row r="17" customFormat="false" ht="16.5" hidden="false" customHeight="true" outlineLevel="0" collapsed="false">
      <c r="A17" s="44" t="s">
        <v>63</v>
      </c>
      <c r="B17" s="45" t="n">
        <v>0</v>
      </c>
      <c r="C17" s="45" t="n">
        <v>0</v>
      </c>
      <c r="D17" s="45" t="n">
        <v>0</v>
      </c>
      <c r="E17" s="45" t="n">
        <v>0</v>
      </c>
      <c r="F17" s="45" t="n">
        <v>0.01</v>
      </c>
      <c r="G17" s="45" t="n">
        <v>0.01</v>
      </c>
      <c r="H17" s="45" t="n">
        <v>0.015</v>
      </c>
      <c r="I17" s="45" t="n">
        <v>0.01</v>
      </c>
      <c r="J17" s="45" t="n">
        <v>0</v>
      </c>
      <c r="K17" s="45" t="n">
        <v>0</v>
      </c>
      <c r="L17" s="45" t="n">
        <v>0</v>
      </c>
      <c r="M17" s="45" t="n">
        <v>0</v>
      </c>
      <c r="O17" s="46" t="n">
        <f aca="false">AVERAGE(B17:M17)</f>
        <v>0.00375</v>
      </c>
      <c r="P17" s="47" t="s">
        <v>64</v>
      </c>
    </row>
    <row r="18" customFormat="false" ht="16.5" hidden="false" customHeight="true" outlineLevel="0" collapsed="false">
      <c r="A18" s="16" t="s">
        <v>65</v>
      </c>
      <c r="B18" s="41" t="n">
        <v>1.15</v>
      </c>
      <c r="C18" s="41" t="n">
        <v>1.15</v>
      </c>
      <c r="D18" s="41" t="n">
        <v>1</v>
      </c>
      <c r="E18" s="41" t="n">
        <v>0.9</v>
      </c>
      <c r="F18" s="41" t="n">
        <v>0.95</v>
      </c>
      <c r="G18" s="41" t="n">
        <v>1.05</v>
      </c>
      <c r="H18" s="41" t="n">
        <v>1.18</v>
      </c>
      <c r="I18" s="41" t="n">
        <v>1.18</v>
      </c>
      <c r="J18" s="41" t="n">
        <v>0.95</v>
      </c>
      <c r="K18" s="41" t="n">
        <v>0.9</v>
      </c>
      <c r="L18" s="41" t="n">
        <v>1</v>
      </c>
      <c r="M18" s="41" t="n">
        <v>1.1</v>
      </c>
      <c r="O18" s="42" t="n">
        <f aca="false">AVERAGE(B18:M18)</f>
        <v>1.0425</v>
      </c>
      <c r="P18" s="43" t="s">
        <v>66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19" t="s">
        <v>67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customFormat="false" ht="18" hidden="false" customHeight="true" outlineLevel="0" collapsed="false">
      <c r="A21" s="20" t="s">
        <v>68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52</v>
      </c>
      <c r="H21" s="21" t="s">
        <v>53</v>
      </c>
      <c r="I21" s="21" t="s">
        <v>54</v>
      </c>
      <c r="J21" s="21" t="s">
        <v>55</v>
      </c>
      <c r="K21" s="21" t="s">
        <v>56</v>
      </c>
      <c r="L21" s="21" t="s">
        <v>57</v>
      </c>
      <c r="M21" s="21" t="s">
        <v>58</v>
      </c>
      <c r="N21" s="7" t="s">
        <v>69</v>
      </c>
      <c r="O21" s="7" t="s">
        <v>70</v>
      </c>
    </row>
    <row r="22" customFormat="false" ht="16.5" hidden="false" customHeight="true" outlineLevel="0" collapsed="false">
      <c r="A22" s="48" t="s">
        <v>71</v>
      </c>
      <c r="O22" s="49"/>
      <c r="P22" s="49"/>
    </row>
    <row r="23" customFormat="false" ht="16.5" hidden="false" customHeight="true" outlineLevel="0" collapsed="false">
      <c r="A23" s="11" t="s">
        <v>72</v>
      </c>
      <c r="B23" s="50" t="n">
        <f aca="false">$B$4*B$16*0.35</f>
        <v>20300</v>
      </c>
      <c r="C23" s="50" t="n">
        <f aca="false">$B$4*C$16*0.35</f>
        <v>22736</v>
      </c>
      <c r="D23" s="50" t="n">
        <f aca="false">$B$4*D$16*0.35</f>
        <v>16646</v>
      </c>
      <c r="E23" s="50" t="n">
        <f aca="false">$B$4*E$16*0.35</f>
        <v>17255</v>
      </c>
      <c r="F23" s="50" t="n">
        <f aca="false">$B$4*F$16*0.35</f>
        <v>21924</v>
      </c>
      <c r="G23" s="50" t="n">
        <f aca="false">$B$4*G$16*0.35</f>
        <v>23954</v>
      </c>
      <c r="H23" s="50" t="n">
        <f aca="false">$B$4*H$16*0.35</f>
        <v>24766</v>
      </c>
      <c r="I23" s="50" t="n">
        <f aca="false">$B$4*I$16*0.35</f>
        <v>23345</v>
      </c>
      <c r="J23" s="50" t="n">
        <f aca="false">$B$4*J$16*0.35</f>
        <v>17864</v>
      </c>
      <c r="K23" s="50" t="n">
        <f aca="false">$B$4*K$16*0.35</f>
        <v>21315</v>
      </c>
      <c r="L23" s="50" t="n">
        <f aca="false">$B$4*L$16*0.35</f>
        <v>16646</v>
      </c>
      <c r="M23" s="50" t="n">
        <f aca="false">$B$4*M$16*0.35</f>
        <v>16849</v>
      </c>
      <c r="O23" s="50" t="n">
        <f aca="false">SUM(B23:M23)</f>
        <v>243600</v>
      </c>
      <c r="P23" s="25" t="n">
        <f aca="false">IF(O26=0,0,O23/O26)</f>
        <v>0.35</v>
      </c>
    </row>
    <row r="24" customFormat="false" ht="16.5" hidden="false" customHeight="true" outlineLevel="0" collapsed="false">
      <c r="A24" s="16" t="s">
        <v>73</v>
      </c>
      <c r="B24" s="51" t="n">
        <f aca="false">$B$4*B$16*0.55</f>
        <v>31900</v>
      </c>
      <c r="C24" s="51" t="n">
        <f aca="false">$B$4*C$16*0.55</f>
        <v>35728</v>
      </c>
      <c r="D24" s="51" t="n">
        <f aca="false">$B$4*D$16*0.55</f>
        <v>26158</v>
      </c>
      <c r="E24" s="51" t="n">
        <f aca="false">$B$4*E$16*0.55</f>
        <v>27115</v>
      </c>
      <c r="F24" s="51" t="n">
        <f aca="false">$B$4*F$16*0.55</f>
        <v>34452</v>
      </c>
      <c r="G24" s="51" t="n">
        <f aca="false">$B$4*G$16*0.55</f>
        <v>37642</v>
      </c>
      <c r="H24" s="51" t="n">
        <f aca="false">$B$4*H$16*0.55</f>
        <v>38918</v>
      </c>
      <c r="I24" s="51" t="n">
        <f aca="false">$B$4*I$16*0.55</f>
        <v>36685</v>
      </c>
      <c r="J24" s="51" t="n">
        <f aca="false">$B$4*J$16*0.55</f>
        <v>28072</v>
      </c>
      <c r="K24" s="51" t="n">
        <f aca="false">$B$4*K$16*0.55</f>
        <v>33495</v>
      </c>
      <c r="L24" s="51" t="n">
        <f aca="false">$B$4*L$16*0.55</f>
        <v>26158</v>
      </c>
      <c r="M24" s="51" t="n">
        <f aca="false">$B$4*M$16*0.55</f>
        <v>26477</v>
      </c>
      <c r="O24" s="51" t="n">
        <f aca="false">SUM(B24:M24)</f>
        <v>382800</v>
      </c>
      <c r="P24" s="23" t="n">
        <f aca="false">IF(O26=0,0,O24/O26)</f>
        <v>0.55</v>
      </c>
    </row>
    <row r="25" customFormat="false" ht="16.5" hidden="false" customHeight="true" outlineLevel="0" collapsed="false">
      <c r="A25" s="11" t="s">
        <v>74</v>
      </c>
      <c r="B25" s="50" t="n">
        <f aca="false">$B$4*B$16*0.1</f>
        <v>5800</v>
      </c>
      <c r="C25" s="50" t="n">
        <f aca="false">$B$4*C$16*0.1</f>
        <v>6496</v>
      </c>
      <c r="D25" s="50" t="n">
        <f aca="false">$B$4*D$16*0.1</f>
        <v>4756</v>
      </c>
      <c r="E25" s="50" t="n">
        <f aca="false">$B$4*E$16*0.1</f>
        <v>4930</v>
      </c>
      <c r="F25" s="50" t="n">
        <f aca="false">$B$4*F$16*0.1</f>
        <v>6264</v>
      </c>
      <c r="G25" s="50" t="n">
        <f aca="false">$B$4*G$16*0.1</f>
        <v>6844</v>
      </c>
      <c r="H25" s="50" t="n">
        <f aca="false">$B$4*H$16*0.1</f>
        <v>7076</v>
      </c>
      <c r="I25" s="50" t="n">
        <f aca="false">$B$4*I$16*0.1</f>
        <v>6670</v>
      </c>
      <c r="J25" s="50" t="n">
        <f aca="false">$B$4*J$16*0.1</f>
        <v>5104</v>
      </c>
      <c r="K25" s="50" t="n">
        <f aca="false">$B$4*K$16*0.1</f>
        <v>6090</v>
      </c>
      <c r="L25" s="50" t="n">
        <f aca="false">$B$4*L$16*0.1</f>
        <v>4756</v>
      </c>
      <c r="M25" s="50" t="n">
        <f aca="false">$B$4*M$16*0.1</f>
        <v>4814</v>
      </c>
      <c r="O25" s="50" t="n">
        <f aca="false">SUM(B25:M25)</f>
        <v>69600</v>
      </c>
      <c r="P25" s="25" t="n">
        <f aca="false">IF(O26=0,0,O25/O26)</f>
        <v>0.1</v>
      </c>
    </row>
    <row r="26" customFormat="false" ht="16.5" hidden="false" customHeight="true" outlineLevel="0" collapsed="false">
      <c r="A26" s="52" t="s">
        <v>75</v>
      </c>
      <c r="B26" s="53" t="n">
        <f aca="false">B23+B24+B25</f>
        <v>58000</v>
      </c>
      <c r="C26" s="53" t="n">
        <f aca="false">C23+C24+C25</f>
        <v>64960</v>
      </c>
      <c r="D26" s="53" t="n">
        <f aca="false">D23+D24+D25</f>
        <v>47560</v>
      </c>
      <c r="E26" s="53" t="n">
        <f aca="false">E23+E24+E25</f>
        <v>49300</v>
      </c>
      <c r="F26" s="53" t="n">
        <f aca="false">F23+F24+F25</f>
        <v>62640</v>
      </c>
      <c r="G26" s="53" t="n">
        <f aca="false">G23+G24+G25</f>
        <v>68440</v>
      </c>
      <c r="H26" s="53" t="n">
        <f aca="false">H23+H24+H25</f>
        <v>70760</v>
      </c>
      <c r="I26" s="53" t="n">
        <f aca="false">I23+I24+I25</f>
        <v>66700</v>
      </c>
      <c r="J26" s="53" t="n">
        <f aca="false">J23+J24+J25</f>
        <v>51040</v>
      </c>
      <c r="K26" s="53" t="n">
        <f aca="false">K23+K24+K25</f>
        <v>60900</v>
      </c>
      <c r="L26" s="53" t="n">
        <f aca="false">L23+L24+L25</f>
        <v>47560</v>
      </c>
      <c r="M26" s="53" t="n">
        <f aca="false">M23+M24+M25</f>
        <v>48140</v>
      </c>
      <c r="O26" s="54" t="n">
        <f aca="false">SUM(B26:M26)</f>
        <v>696000</v>
      </c>
      <c r="P26" s="55" t="n">
        <f aca="false">IF(O26=0,0,O26/O26)</f>
        <v>1</v>
      </c>
    </row>
    <row r="27" customFormat="false" ht="6" hidden="false" customHeight="true" outlineLevel="0" collapsed="false"/>
    <row r="28" customFormat="false" ht="16.5" hidden="false" customHeight="true" outlineLevel="0" collapsed="false">
      <c r="A28" s="48" t="s">
        <v>76</v>
      </c>
      <c r="O28" s="49"/>
      <c r="P28" s="49"/>
    </row>
    <row r="29" customFormat="false" ht="16.5" hidden="false" customHeight="true" outlineLevel="0" collapsed="false">
      <c r="A29" s="11" t="s">
        <v>77</v>
      </c>
      <c r="B29" s="50" t="n">
        <f aca="false">B26*($B$5+B$17)</f>
        <v>15660</v>
      </c>
      <c r="C29" s="50" t="n">
        <f aca="false">C26*($B$5+C$17)</f>
        <v>17539.2</v>
      </c>
      <c r="D29" s="50" t="n">
        <f aca="false">D26*($B$5+D$17)</f>
        <v>12841.2</v>
      </c>
      <c r="E29" s="50" t="n">
        <f aca="false">E26*($B$5+E$17)</f>
        <v>13311</v>
      </c>
      <c r="F29" s="50" t="n">
        <f aca="false">F26*($B$5+F$17)</f>
        <v>17539.2</v>
      </c>
      <c r="G29" s="50" t="n">
        <f aca="false">G26*($B$5+G$17)</f>
        <v>19163.2</v>
      </c>
      <c r="H29" s="50" t="n">
        <f aca="false">H26*($B$5+H$17)</f>
        <v>20166.6</v>
      </c>
      <c r="I29" s="50" t="n">
        <f aca="false">I26*($B$5+I$17)</f>
        <v>18676</v>
      </c>
      <c r="J29" s="50" t="n">
        <f aca="false">J26*($B$5+J$17)</f>
        <v>13780.8</v>
      </c>
      <c r="K29" s="50" t="n">
        <f aca="false">K26*($B$5+K$17)</f>
        <v>16443</v>
      </c>
      <c r="L29" s="50" t="n">
        <f aca="false">L26*($B$5+L$17)</f>
        <v>12841.2</v>
      </c>
      <c r="M29" s="50" t="n">
        <f aca="false">M26*($B$5+M$17)</f>
        <v>12997.8</v>
      </c>
      <c r="O29" s="50" t="n">
        <f aca="false">SUM(B29:M29)</f>
        <v>190959.2</v>
      </c>
      <c r="P29" s="25" t="n">
        <f aca="false">IF(O26=0,0,O29/O26)</f>
        <v>0.274366666666667</v>
      </c>
    </row>
    <row r="30" customFormat="false" ht="16.5" hidden="false" customHeight="true" outlineLevel="0" collapsed="false">
      <c r="A30" s="16" t="s">
        <v>78</v>
      </c>
      <c r="B30" s="51" t="n">
        <f aca="false">B26*$B$6</f>
        <v>1160</v>
      </c>
      <c r="C30" s="51" t="n">
        <f aca="false">C26*$B$6</f>
        <v>1299.2</v>
      </c>
      <c r="D30" s="51" t="n">
        <f aca="false">D26*$B$6</f>
        <v>951.2</v>
      </c>
      <c r="E30" s="51" t="n">
        <f aca="false">E26*$B$6</f>
        <v>986</v>
      </c>
      <c r="F30" s="51" t="n">
        <f aca="false">F26*$B$6</f>
        <v>1252.8</v>
      </c>
      <c r="G30" s="51" t="n">
        <f aca="false">G26*$B$6</f>
        <v>1368.8</v>
      </c>
      <c r="H30" s="51" t="n">
        <f aca="false">H26*$B$6</f>
        <v>1415.2</v>
      </c>
      <c r="I30" s="51" t="n">
        <f aca="false">I26*$B$6</f>
        <v>1334</v>
      </c>
      <c r="J30" s="51" t="n">
        <f aca="false">J26*$B$6</f>
        <v>1020.8</v>
      </c>
      <c r="K30" s="51" t="n">
        <f aca="false">K26*$B$6</f>
        <v>1218</v>
      </c>
      <c r="L30" s="51" t="n">
        <f aca="false">L26*$B$6</f>
        <v>951.2</v>
      </c>
      <c r="M30" s="51" t="n">
        <f aca="false">M26*$B$6</f>
        <v>962.8</v>
      </c>
      <c r="O30" s="51" t="n">
        <f aca="false">SUM(B30:M30)</f>
        <v>13920</v>
      </c>
      <c r="P30" s="23" t="n">
        <f aca="false">IF(O26=0,0,O30/O26)</f>
        <v>0.02</v>
      </c>
    </row>
    <row r="31" customFormat="false" ht="16.5" hidden="false" customHeight="true" outlineLevel="0" collapsed="false">
      <c r="A31" s="56" t="s">
        <v>8</v>
      </c>
      <c r="B31" s="53" t="n">
        <f aca="false">B29+B30</f>
        <v>16820</v>
      </c>
      <c r="C31" s="53" t="n">
        <f aca="false">C29+C30</f>
        <v>18838.4</v>
      </c>
      <c r="D31" s="53" t="n">
        <f aca="false">D29+D30</f>
        <v>13792.4</v>
      </c>
      <c r="E31" s="53" t="n">
        <f aca="false">E29+E30</f>
        <v>14297</v>
      </c>
      <c r="F31" s="53" t="n">
        <f aca="false">F29+F30</f>
        <v>18792</v>
      </c>
      <c r="G31" s="53" t="n">
        <f aca="false">G29+G30</f>
        <v>20532</v>
      </c>
      <c r="H31" s="53" t="n">
        <f aca="false">H29+H30</f>
        <v>21581.8</v>
      </c>
      <c r="I31" s="53" t="n">
        <f aca="false">I29+I30</f>
        <v>20010</v>
      </c>
      <c r="J31" s="53" t="n">
        <f aca="false">J29+J30</f>
        <v>14801.6</v>
      </c>
      <c r="K31" s="53" t="n">
        <f aca="false">K29+K30</f>
        <v>17661</v>
      </c>
      <c r="L31" s="53" t="n">
        <f aca="false">L29+L30</f>
        <v>13792.4</v>
      </c>
      <c r="M31" s="53" t="n">
        <f aca="false">M29+M30</f>
        <v>13960.6</v>
      </c>
      <c r="O31" s="54" t="n">
        <f aca="false">SUM(B31:M31)</f>
        <v>204879.2</v>
      </c>
      <c r="P31" s="55" t="n">
        <f aca="false">IF(O26=0,0,O31/O26)</f>
        <v>0.294366666666667</v>
      </c>
    </row>
    <row r="32" customFormat="false" ht="6" hidden="false" customHeight="true" outlineLevel="0" collapsed="false"/>
    <row r="33" customFormat="false" ht="16.5" hidden="false" customHeight="true" outlineLevel="0" collapsed="false">
      <c r="A33" s="56" t="s">
        <v>79</v>
      </c>
      <c r="B33" s="53" t="n">
        <f aca="false">B26-B31</f>
        <v>41180</v>
      </c>
      <c r="C33" s="53" t="n">
        <f aca="false">C26-C31</f>
        <v>46121.6</v>
      </c>
      <c r="D33" s="53" t="n">
        <f aca="false">D26-D31</f>
        <v>33767.6</v>
      </c>
      <c r="E33" s="53" t="n">
        <f aca="false">E26-E31</f>
        <v>35003</v>
      </c>
      <c r="F33" s="53" t="n">
        <f aca="false">F26-F31</f>
        <v>43848</v>
      </c>
      <c r="G33" s="53" t="n">
        <f aca="false">G26-G31</f>
        <v>47908</v>
      </c>
      <c r="H33" s="53" t="n">
        <f aca="false">H26-H31</f>
        <v>49178.2</v>
      </c>
      <c r="I33" s="53" t="n">
        <f aca="false">I26-I31</f>
        <v>46690</v>
      </c>
      <c r="J33" s="53" t="n">
        <f aca="false">J26-J31</f>
        <v>36238.4</v>
      </c>
      <c r="K33" s="53" t="n">
        <f aca="false">K26-K31</f>
        <v>43239</v>
      </c>
      <c r="L33" s="53" t="n">
        <f aca="false">L26-L31</f>
        <v>33767.6</v>
      </c>
      <c r="M33" s="53" t="n">
        <f aca="false">M26-M31</f>
        <v>34179.4</v>
      </c>
      <c r="O33" s="54" t="n">
        <f aca="false">SUM(B33:M33)</f>
        <v>491120.8</v>
      </c>
      <c r="P33" s="55" t="n">
        <f aca="false">IF(O26=0,0,O33/O26)</f>
        <v>0.705633333333333</v>
      </c>
    </row>
    <row r="34" customFormat="false" ht="16.5" hidden="false" customHeight="true" outlineLevel="0" collapsed="false">
      <c r="A34" s="16" t="s">
        <v>10</v>
      </c>
      <c r="B34" s="23" t="n">
        <f aca="false">IF(B26=0,0,B33/B26)</f>
        <v>0.71</v>
      </c>
      <c r="C34" s="23" t="n">
        <f aca="false">IF(C26=0,0,C33/C26)</f>
        <v>0.71</v>
      </c>
      <c r="D34" s="23" t="n">
        <f aca="false">IF(D26=0,0,D33/D26)</f>
        <v>0.71</v>
      </c>
      <c r="E34" s="23" t="n">
        <f aca="false">IF(E26=0,0,E33/E26)</f>
        <v>0.71</v>
      </c>
      <c r="F34" s="23" t="n">
        <f aca="false">IF(F26=0,0,F33/F26)</f>
        <v>0.7</v>
      </c>
      <c r="G34" s="23" t="n">
        <f aca="false">IF(G26=0,0,G33/G26)</f>
        <v>0.7</v>
      </c>
      <c r="H34" s="23" t="n">
        <f aca="false">IF(H26=0,0,H33/H26)</f>
        <v>0.695</v>
      </c>
      <c r="I34" s="23" t="n">
        <f aca="false">IF(I26=0,0,I33/I26)</f>
        <v>0.7</v>
      </c>
      <c r="J34" s="23" t="n">
        <f aca="false">IF(J26=0,0,J33/J26)</f>
        <v>0.71</v>
      </c>
      <c r="K34" s="23" t="n">
        <f aca="false">IF(K26=0,0,K33/K26)</f>
        <v>0.71</v>
      </c>
      <c r="L34" s="23" t="n">
        <f aca="false">IF(L26=0,0,L33/L26)</f>
        <v>0.71</v>
      </c>
      <c r="M34" s="23" t="n">
        <f aca="false">IF(M26=0,0,M33/M26)</f>
        <v>0.71</v>
      </c>
      <c r="O34" s="23" t="n">
        <f aca="false">IF(O26=0,0,O33/O26)</f>
        <v>0.705633333333333</v>
      </c>
      <c r="P34" s="23" t="n">
        <f aca="false">IF(O26=0,0,O33/O26)</f>
        <v>0.705633333333333</v>
      </c>
    </row>
    <row r="35" customFormat="false" ht="6" hidden="false" customHeight="true" outlineLevel="0" collapsed="false"/>
    <row r="36" customFormat="false" ht="16.5" hidden="false" customHeight="true" outlineLevel="0" collapsed="false">
      <c r="A36" s="48" t="s">
        <v>80</v>
      </c>
      <c r="O36" s="49"/>
      <c r="P36" s="49"/>
    </row>
    <row r="37" customFormat="false" ht="16.5" hidden="false" customHeight="true" outlineLevel="0" collapsed="false">
      <c r="A37" s="11" t="s">
        <v>81</v>
      </c>
      <c r="B37" s="50" t="n">
        <f aca="false">B26*$B$7</f>
        <v>12760</v>
      </c>
      <c r="C37" s="50" t="n">
        <f aca="false">C26*$B$7</f>
        <v>14291.2</v>
      </c>
      <c r="D37" s="50" t="n">
        <f aca="false">D26*$B$7</f>
        <v>10463.2</v>
      </c>
      <c r="E37" s="50" t="n">
        <f aca="false">E26*$B$7</f>
        <v>10846</v>
      </c>
      <c r="F37" s="50" t="n">
        <f aca="false">F26*$B$7</f>
        <v>13780.8</v>
      </c>
      <c r="G37" s="50" t="n">
        <f aca="false">G26*$B$7</f>
        <v>15056.8</v>
      </c>
      <c r="H37" s="50" t="n">
        <f aca="false">H26*$B$7</f>
        <v>15567.2</v>
      </c>
      <c r="I37" s="50" t="n">
        <f aca="false">I26*$B$7</f>
        <v>14674</v>
      </c>
      <c r="J37" s="50" t="n">
        <f aca="false">J26*$B$7</f>
        <v>11228.8</v>
      </c>
      <c r="K37" s="50" t="n">
        <f aca="false">K26*$B$7</f>
        <v>13398</v>
      </c>
      <c r="L37" s="50" t="n">
        <f aca="false">L26*$B$7</f>
        <v>10463.2</v>
      </c>
      <c r="M37" s="50" t="n">
        <f aca="false">M26*$B$7</f>
        <v>10590.8</v>
      </c>
      <c r="O37" s="50" t="n">
        <f aca="false">SUM(B37:M37)</f>
        <v>153120</v>
      </c>
      <c r="P37" s="25" t="n">
        <f aca="false">IF(O26=0,0,O37/O26)</f>
        <v>0.22</v>
      </c>
    </row>
    <row r="38" customFormat="false" ht="16.5" hidden="false" customHeight="true" outlineLevel="0" collapsed="false">
      <c r="A38" s="16" t="s">
        <v>82</v>
      </c>
      <c r="B38" s="17" t="n">
        <f aca="false">$B$8</f>
        <v>3500</v>
      </c>
      <c r="C38" s="17" t="n">
        <f aca="false">$B$8</f>
        <v>3500</v>
      </c>
      <c r="D38" s="17" t="n">
        <f aca="false">$B$8</f>
        <v>3500</v>
      </c>
      <c r="E38" s="17" t="n">
        <f aca="false">$B$8</f>
        <v>3500</v>
      </c>
      <c r="F38" s="17" t="n">
        <f aca="false">$B$8</f>
        <v>3500</v>
      </c>
      <c r="G38" s="17" t="n">
        <f aca="false">$B$8</f>
        <v>3500</v>
      </c>
      <c r="H38" s="17" t="n">
        <f aca="false">$B$8</f>
        <v>3500</v>
      </c>
      <c r="I38" s="17" t="n">
        <f aca="false">$B$8</f>
        <v>3500</v>
      </c>
      <c r="J38" s="17" t="n">
        <f aca="false">$B$8</f>
        <v>3500</v>
      </c>
      <c r="K38" s="17" t="n">
        <f aca="false">$B$8</f>
        <v>3500</v>
      </c>
      <c r="L38" s="17" t="n">
        <f aca="false">$B$8</f>
        <v>3500</v>
      </c>
      <c r="M38" s="17" t="n">
        <f aca="false">$B$8</f>
        <v>3500</v>
      </c>
      <c r="O38" s="51" t="n">
        <f aca="false">SUM(B38:M38)</f>
        <v>42000</v>
      </c>
      <c r="P38" s="23" t="n">
        <f aca="false">IF(O26=0,0,O38/O26)</f>
        <v>0.0603448275862069</v>
      </c>
    </row>
    <row r="39" customFormat="false" ht="16.5" hidden="false" customHeight="true" outlineLevel="0" collapsed="false">
      <c r="A39" s="11" t="s">
        <v>83</v>
      </c>
      <c r="B39" s="12" t="n">
        <f aca="false">$B$9</f>
        <v>5500</v>
      </c>
      <c r="C39" s="12" t="n">
        <f aca="false">$B$9</f>
        <v>5500</v>
      </c>
      <c r="D39" s="12" t="n">
        <f aca="false">$B$9</f>
        <v>5500</v>
      </c>
      <c r="E39" s="12" t="n">
        <f aca="false">$B$9</f>
        <v>5500</v>
      </c>
      <c r="F39" s="12" t="n">
        <f aca="false">$B$9</f>
        <v>5500</v>
      </c>
      <c r="G39" s="12" t="n">
        <f aca="false">$B$9</f>
        <v>5500</v>
      </c>
      <c r="H39" s="12" t="n">
        <f aca="false">$B$9</f>
        <v>5500</v>
      </c>
      <c r="I39" s="12" t="n">
        <f aca="false">$B$9</f>
        <v>5500</v>
      </c>
      <c r="J39" s="12" t="n">
        <f aca="false">$B$9</f>
        <v>5500</v>
      </c>
      <c r="K39" s="12" t="n">
        <f aca="false">$B$9</f>
        <v>5500</v>
      </c>
      <c r="L39" s="12" t="n">
        <f aca="false">$B$9</f>
        <v>5500</v>
      </c>
      <c r="M39" s="12" t="n">
        <f aca="false">$B$9</f>
        <v>5500</v>
      </c>
      <c r="O39" s="50" t="n">
        <f aca="false">SUM(B39:M39)</f>
        <v>66000</v>
      </c>
      <c r="P39" s="25" t="n">
        <f aca="false">IF(O26=0,0,O39/O26)</f>
        <v>0.0948275862068966</v>
      </c>
    </row>
    <row r="40" customFormat="false" ht="16.5" hidden="false" customHeight="true" outlineLevel="0" collapsed="false">
      <c r="A40" s="16" t="s">
        <v>84</v>
      </c>
      <c r="B40" s="51" t="n">
        <f aca="false">$B$10*B$18</f>
        <v>1265</v>
      </c>
      <c r="C40" s="51" t="n">
        <f aca="false">$B$10*C$18</f>
        <v>1265</v>
      </c>
      <c r="D40" s="51" t="n">
        <f aca="false">$B$10*D$18</f>
        <v>1100</v>
      </c>
      <c r="E40" s="51" t="n">
        <f aca="false">$B$10*E$18</f>
        <v>990</v>
      </c>
      <c r="F40" s="51" t="n">
        <f aca="false">$B$10*F$18</f>
        <v>1045</v>
      </c>
      <c r="G40" s="51" t="n">
        <f aca="false">$B$10*G$18</f>
        <v>1155</v>
      </c>
      <c r="H40" s="51" t="n">
        <f aca="false">$B$10*H$18</f>
        <v>1298</v>
      </c>
      <c r="I40" s="51" t="n">
        <f aca="false">$B$10*I$18</f>
        <v>1298</v>
      </c>
      <c r="J40" s="51" t="n">
        <f aca="false">$B$10*J$18</f>
        <v>1045</v>
      </c>
      <c r="K40" s="51" t="n">
        <f aca="false">$B$10*K$18</f>
        <v>990</v>
      </c>
      <c r="L40" s="51" t="n">
        <f aca="false">$B$10*L$18</f>
        <v>1100</v>
      </c>
      <c r="M40" s="51" t="n">
        <f aca="false">$B$10*M$18</f>
        <v>1210</v>
      </c>
      <c r="O40" s="51" t="n">
        <f aca="false">SUM(B40:M40)</f>
        <v>13761</v>
      </c>
      <c r="P40" s="23" t="n">
        <f aca="false">IF(O26=0,0,O40/O26)</f>
        <v>0.0197715517241379</v>
      </c>
    </row>
    <row r="41" customFormat="false" ht="16.5" hidden="false" customHeight="true" outlineLevel="0" collapsed="false">
      <c r="A41" s="11" t="s">
        <v>85</v>
      </c>
      <c r="B41" s="50" t="n">
        <f aca="false">B26*$B$11</f>
        <v>2320</v>
      </c>
      <c r="C41" s="50" t="n">
        <f aca="false">C26*$B$11</f>
        <v>2598.4</v>
      </c>
      <c r="D41" s="50" t="n">
        <f aca="false">D26*$B$11</f>
        <v>1902.4</v>
      </c>
      <c r="E41" s="50" t="n">
        <f aca="false">E26*$B$11</f>
        <v>1972</v>
      </c>
      <c r="F41" s="50" t="n">
        <f aca="false">F26*$B$11</f>
        <v>2505.6</v>
      </c>
      <c r="G41" s="50" t="n">
        <f aca="false">G26*$B$11</f>
        <v>2737.6</v>
      </c>
      <c r="H41" s="50" t="n">
        <f aca="false">H26*$B$11</f>
        <v>2830.4</v>
      </c>
      <c r="I41" s="50" t="n">
        <f aca="false">I26*$B$11</f>
        <v>2668</v>
      </c>
      <c r="J41" s="50" t="n">
        <f aca="false">J26*$B$11</f>
        <v>2041.6</v>
      </c>
      <c r="K41" s="50" t="n">
        <f aca="false">K26*$B$11</f>
        <v>2436</v>
      </c>
      <c r="L41" s="50" t="n">
        <f aca="false">L26*$B$11</f>
        <v>1902.4</v>
      </c>
      <c r="M41" s="50" t="n">
        <f aca="false">M26*$B$11</f>
        <v>1925.6</v>
      </c>
      <c r="O41" s="50" t="n">
        <f aca="false">SUM(B41:M41)</f>
        <v>27840</v>
      </c>
      <c r="P41" s="25" t="n">
        <f aca="false">IF(O26=0,0,O41/O26)</f>
        <v>0.04</v>
      </c>
    </row>
    <row r="42" customFormat="false" ht="16.5" hidden="false" customHeight="true" outlineLevel="0" collapsed="false">
      <c r="A42" s="16" t="s">
        <v>86</v>
      </c>
      <c r="B42" s="17" t="n">
        <f aca="false">$B$12</f>
        <v>400</v>
      </c>
      <c r="C42" s="17" t="n">
        <f aca="false">$B$12</f>
        <v>400</v>
      </c>
      <c r="D42" s="17" t="n">
        <f aca="false">$B$12</f>
        <v>400</v>
      </c>
      <c r="E42" s="17" t="n">
        <f aca="false">$B$12</f>
        <v>400</v>
      </c>
      <c r="F42" s="17" t="n">
        <f aca="false">$B$12</f>
        <v>400</v>
      </c>
      <c r="G42" s="17" t="n">
        <f aca="false">$B$12</f>
        <v>400</v>
      </c>
      <c r="H42" s="17" t="n">
        <f aca="false">$B$12</f>
        <v>400</v>
      </c>
      <c r="I42" s="17" t="n">
        <f aca="false">$B$12</f>
        <v>400</v>
      </c>
      <c r="J42" s="17" t="n">
        <f aca="false">$B$12</f>
        <v>400</v>
      </c>
      <c r="K42" s="17" t="n">
        <f aca="false">$B$12</f>
        <v>400</v>
      </c>
      <c r="L42" s="17" t="n">
        <f aca="false">$B$12</f>
        <v>400</v>
      </c>
      <c r="M42" s="17" t="n">
        <f aca="false">$B$12</f>
        <v>400</v>
      </c>
      <c r="O42" s="51" t="n">
        <f aca="false">SUM(B42:M42)</f>
        <v>4800</v>
      </c>
      <c r="P42" s="23" t="n">
        <f aca="false">IF(O26=0,0,O42/O26)</f>
        <v>0.00689655172413793</v>
      </c>
    </row>
    <row r="43" customFormat="false" ht="16.5" hidden="false" customHeight="true" outlineLevel="0" collapsed="false">
      <c r="A43" s="56" t="s">
        <v>11</v>
      </c>
      <c r="B43" s="53" t="n">
        <f aca="false">B37+B38+B39+B40+B41+B42</f>
        <v>25745</v>
      </c>
      <c r="C43" s="53" t="n">
        <f aca="false">C37+C38+C39+C40+C41+C42</f>
        <v>27554.6</v>
      </c>
      <c r="D43" s="53" t="n">
        <f aca="false">D37+D38+D39+D40+D41+D42</f>
        <v>22865.6</v>
      </c>
      <c r="E43" s="53" t="n">
        <f aca="false">E37+E38+E39+E40+E41+E42</f>
        <v>23208</v>
      </c>
      <c r="F43" s="53" t="n">
        <f aca="false">F37+F38+F39+F40+F41+F42</f>
        <v>26731.4</v>
      </c>
      <c r="G43" s="53" t="n">
        <f aca="false">G37+G38+G39+G40+G41+G42</f>
        <v>28349.4</v>
      </c>
      <c r="H43" s="53" t="n">
        <f aca="false">H37+H38+H39+H40+H41+H42</f>
        <v>29095.6</v>
      </c>
      <c r="I43" s="53" t="n">
        <f aca="false">I37+I38+I39+I40+I41+I42</f>
        <v>28040</v>
      </c>
      <c r="J43" s="53" t="n">
        <f aca="false">J37+J38+J39+J40+J41+J42</f>
        <v>23715.4</v>
      </c>
      <c r="K43" s="53" t="n">
        <f aca="false">K37+K38+K39+K40+K41+K42</f>
        <v>26224</v>
      </c>
      <c r="L43" s="53" t="n">
        <f aca="false">L37+L38+L39+L40+L41+L42</f>
        <v>22865.6</v>
      </c>
      <c r="M43" s="53" t="n">
        <f aca="false">M37+M38+M39+M40+M41+M42</f>
        <v>23126.4</v>
      </c>
      <c r="O43" s="54" t="n">
        <f aca="false">SUM(B43:M43)</f>
        <v>307521</v>
      </c>
      <c r="P43" s="55" t="n">
        <f aca="false">IF(O26=0,0,O43/O26)</f>
        <v>0.441840517241379</v>
      </c>
    </row>
    <row r="44" customFormat="false" ht="6" hidden="false" customHeight="true" outlineLevel="0" collapsed="false"/>
    <row r="45" customFormat="false" ht="16.5" hidden="false" customHeight="true" outlineLevel="0" collapsed="false">
      <c r="A45" s="56" t="s">
        <v>87</v>
      </c>
      <c r="B45" s="53" t="n">
        <f aca="false">B33-B43</f>
        <v>15435</v>
      </c>
      <c r="C45" s="53" t="n">
        <f aca="false">C33-C43</f>
        <v>18567</v>
      </c>
      <c r="D45" s="53" t="n">
        <f aca="false">D33-D43</f>
        <v>10902</v>
      </c>
      <c r="E45" s="53" t="n">
        <f aca="false">E33-E43</f>
        <v>11795</v>
      </c>
      <c r="F45" s="53" t="n">
        <f aca="false">F33-F43</f>
        <v>17116.6</v>
      </c>
      <c r="G45" s="53" t="n">
        <f aca="false">G33-G43</f>
        <v>19558.6</v>
      </c>
      <c r="H45" s="53" t="n">
        <f aca="false">H33-H43</f>
        <v>20082.6</v>
      </c>
      <c r="I45" s="53" t="n">
        <f aca="false">I33-I43</f>
        <v>18650</v>
      </c>
      <c r="J45" s="53" t="n">
        <f aca="false">J33-J43</f>
        <v>12523</v>
      </c>
      <c r="K45" s="53" t="n">
        <f aca="false">K33-K43</f>
        <v>17015</v>
      </c>
      <c r="L45" s="53" t="n">
        <f aca="false">L33-L43</f>
        <v>10902</v>
      </c>
      <c r="M45" s="53" t="n">
        <f aca="false">M33-M43</f>
        <v>11053</v>
      </c>
      <c r="O45" s="54" t="n">
        <f aca="false">SUM(B45:M45)</f>
        <v>183599.8</v>
      </c>
      <c r="P45" s="55" t="n">
        <f aca="false">IF(O26=0,0,O45/O26)</f>
        <v>0.263792816091954</v>
      </c>
    </row>
    <row r="46" customFormat="false" ht="16.5" hidden="false" customHeight="true" outlineLevel="0" collapsed="false">
      <c r="A46" s="16" t="s">
        <v>88</v>
      </c>
      <c r="B46" s="23" t="n">
        <f aca="false">IF(B26=0,0,B45/B26)</f>
        <v>0.266120689655172</v>
      </c>
      <c r="C46" s="23" t="n">
        <f aca="false">IF(C26=0,0,C45/C26)</f>
        <v>0.285822044334975</v>
      </c>
      <c r="D46" s="23" t="n">
        <f aca="false">IF(D26=0,0,D45/D26)</f>
        <v>0.229226240538267</v>
      </c>
      <c r="E46" s="23" t="n">
        <f aca="false">IF(E26=0,0,E45/E26)</f>
        <v>0.239249492900609</v>
      </c>
      <c r="F46" s="23" t="n">
        <f aca="false">IF(F26=0,0,F45/F26)</f>
        <v>0.273253512132822</v>
      </c>
      <c r="G46" s="23" t="n">
        <f aca="false">IF(G26=0,0,G45/G26)</f>
        <v>0.285777323202805</v>
      </c>
      <c r="H46" s="23" t="n">
        <f aca="false">IF(H26=0,0,H45/H26)</f>
        <v>0.283812888637648</v>
      </c>
      <c r="I46" s="23" t="n">
        <f aca="false">IF(I26=0,0,I45/I26)</f>
        <v>0.279610194902549</v>
      </c>
      <c r="J46" s="23" t="n">
        <f aca="false">IF(J26=0,0,J45/J26)</f>
        <v>0.2453565830721</v>
      </c>
      <c r="K46" s="23" t="n">
        <f aca="false">IF(K26=0,0,K45/K26)</f>
        <v>0.279392446633826</v>
      </c>
      <c r="L46" s="23" t="n">
        <f aca="false">IF(L26=0,0,L45/L26)</f>
        <v>0.229226240538267</v>
      </c>
      <c r="M46" s="23" t="n">
        <f aca="false">IF(M26=0,0,M45/M26)</f>
        <v>0.229601163273785</v>
      </c>
      <c r="O46" s="23" t="n">
        <f aca="false">IF(O26=0,0,O45/O26)</f>
        <v>0.263792816091954</v>
      </c>
      <c r="P46" s="23" t="n">
        <f aca="false">IF(O26=0,0,O45/O26)</f>
        <v>0.263792816091954</v>
      </c>
    </row>
  </sheetData>
  <mergeCells count="5">
    <mergeCell ref="A1:P1"/>
    <mergeCell ref="A2:P2"/>
    <mergeCell ref="A3:P3"/>
    <mergeCell ref="A14:P14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14" min="2" style="0" width="10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27.75" hidden="false" customHeight="true" outlineLevel="0" collapsed="false">
      <c r="A1" s="33" t="s">
        <v>91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1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19" t="s">
        <v>36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customFormat="false" ht="16.5" hidden="false" customHeight="true" outlineLevel="0" collapsed="false">
      <c r="A4" s="16" t="s">
        <v>37</v>
      </c>
      <c r="B4" s="34" t="n">
        <v>62000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customFormat="false" ht="16.5" hidden="false" customHeight="true" outlineLevel="0" collapsed="false">
      <c r="A5" s="11" t="s">
        <v>38</v>
      </c>
      <c r="B5" s="36" t="n">
        <v>0.27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customFormat="false" ht="16.5" hidden="false" customHeight="true" outlineLevel="0" collapsed="false">
      <c r="A6" s="16" t="s">
        <v>39</v>
      </c>
      <c r="B6" s="36" t="n">
        <v>0.02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customFormat="false" ht="16.5" hidden="false" customHeight="true" outlineLevel="0" collapsed="false">
      <c r="A7" s="11" t="s">
        <v>40</v>
      </c>
      <c r="B7" s="36" t="n">
        <v>0.22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customFormat="false" ht="16.5" hidden="false" customHeight="true" outlineLevel="0" collapsed="false">
      <c r="A8" s="16" t="s">
        <v>41</v>
      </c>
      <c r="B8" s="34" t="n">
        <v>3500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customFormat="false" ht="16.5" hidden="false" customHeight="true" outlineLevel="0" collapsed="false">
      <c r="A9" s="11" t="s">
        <v>42</v>
      </c>
      <c r="B9" s="34" t="n">
        <v>6000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customFormat="false" ht="16.5" hidden="false" customHeight="true" outlineLevel="0" collapsed="false">
      <c r="A10" s="16" t="s">
        <v>43</v>
      </c>
      <c r="B10" s="34" t="n">
        <v>1100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customFormat="false" ht="16.5" hidden="false" customHeight="true" outlineLevel="0" collapsed="false">
      <c r="A11" s="11" t="s">
        <v>44</v>
      </c>
      <c r="B11" s="36" t="n">
        <v>0.04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customFormat="false" ht="16.5" hidden="false" customHeight="true" outlineLevel="0" collapsed="false">
      <c r="A12" s="16" t="s">
        <v>45</v>
      </c>
      <c r="B12" s="34" t="n">
        <v>400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customFormat="false" ht="7.5" hidden="false" customHeight="true" outlineLevel="0" collapsed="false"/>
    <row r="14" customFormat="false" ht="18" hidden="false" customHeight="true" outlineLevel="0" collapsed="false">
      <c r="A14" s="19" t="s">
        <v>46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customFormat="false" ht="15.75" hidden="false" customHeight="true" outlineLevel="0" collapsed="false">
      <c r="A15" s="38"/>
      <c r="B15" s="39" t="s">
        <v>47</v>
      </c>
      <c r="C15" s="39" t="s">
        <v>48</v>
      </c>
      <c r="D15" s="39" t="s">
        <v>49</v>
      </c>
      <c r="E15" s="39" t="s">
        <v>50</v>
      </c>
      <c r="F15" s="39" t="s">
        <v>51</v>
      </c>
      <c r="G15" s="39" t="s">
        <v>52</v>
      </c>
      <c r="H15" s="39" t="s">
        <v>53</v>
      </c>
      <c r="I15" s="39" t="s">
        <v>54</v>
      </c>
      <c r="J15" s="39" t="s">
        <v>55</v>
      </c>
      <c r="K15" s="39" t="s">
        <v>56</v>
      </c>
      <c r="L15" s="39" t="s">
        <v>57</v>
      </c>
      <c r="M15" s="39" t="s">
        <v>58</v>
      </c>
      <c r="O15" s="40" t="s">
        <v>59</v>
      </c>
      <c r="P15" s="40" t="s">
        <v>60</v>
      </c>
    </row>
    <row r="16" customFormat="false" ht="16.5" hidden="false" customHeight="true" outlineLevel="0" collapsed="false">
      <c r="A16" s="16" t="s">
        <v>61</v>
      </c>
      <c r="B16" s="41" t="n">
        <v>1</v>
      </c>
      <c r="C16" s="41" t="n">
        <v>1.12</v>
      </c>
      <c r="D16" s="41" t="n">
        <v>0.82</v>
      </c>
      <c r="E16" s="41" t="n">
        <v>0.85</v>
      </c>
      <c r="F16" s="41" t="n">
        <v>1.08</v>
      </c>
      <c r="G16" s="41" t="n">
        <v>1.18</v>
      </c>
      <c r="H16" s="41" t="n">
        <v>1.22</v>
      </c>
      <c r="I16" s="41" t="n">
        <v>1.15</v>
      </c>
      <c r="J16" s="41" t="n">
        <v>0.88</v>
      </c>
      <c r="K16" s="41" t="n">
        <v>1.05</v>
      </c>
      <c r="L16" s="41" t="n">
        <v>0.82</v>
      </c>
      <c r="M16" s="41" t="n">
        <v>0.83</v>
      </c>
      <c r="O16" s="42" t="n">
        <f aca="false">AVERAGE(B16:M16)</f>
        <v>1</v>
      </c>
      <c r="P16" s="43" t="s">
        <v>62</v>
      </c>
    </row>
    <row r="17" customFormat="false" ht="16.5" hidden="false" customHeight="true" outlineLevel="0" collapsed="false">
      <c r="A17" s="44" t="s">
        <v>63</v>
      </c>
      <c r="B17" s="45" t="n">
        <v>0</v>
      </c>
      <c r="C17" s="45" t="n">
        <v>0</v>
      </c>
      <c r="D17" s="45" t="n">
        <v>0</v>
      </c>
      <c r="E17" s="45" t="n">
        <v>0</v>
      </c>
      <c r="F17" s="45" t="n">
        <v>0.01</v>
      </c>
      <c r="G17" s="45" t="n">
        <v>0.01</v>
      </c>
      <c r="H17" s="45" t="n">
        <v>0.015</v>
      </c>
      <c r="I17" s="45" t="n">
        <v>0.01</v>
      </c>
      <c r="J17" s="45" t="n">
        <v>0</v>
      </c>
      <c r="K17" s="45" t="n">
        <v>0</v>
      </c>
      <c r="L17" s="45" t="n">
        <v>0</v>
      </c>
      <c r="M17" s="45" t="n">
        <v>0</v>
      </c>
      <c r="O17" s="46" t="n">
        <f aca="false">AVERAGE(B17:M17)</f>
        <v>0.00375</v>
      </c>
      <c r="P17" s="47" t="s">
        <v>64</v>
      </c>
    </row>
    <row r="18" customFormat="false" ht="16.5" hidden="false" customHeight="true" outlineLevel="0" collapsed="false">
      <c r="A18" s="16" t="s">
        <v>65</v>
      </c>
      <c r="B18" s="41" t="n">
        <v>1.15</v>
      </c>
      <c r="C18" s="41" t="n">
        <v>1.15</v>
      </c>
      <c r="D18" s="41" t="n">
        <v>1</v>
      </c>
      <c r="E18" s="41" t="n">
        <v>0.9</v>
      </c>
      <c r="F18" s="41" t="n">
        <v>0.95</v>
      </c>
      <c r="G18" s="41" t="n">
        <v>1.05</v>
      </c>
      <c r="H18" s="41" t="n">
        <v>1.18</v>
      </c>
      <c r="I18" s="41" t="n">
        <v>1.18</v>
      </c>
      <c r="J18" s="41" t="n">
        <v>0.95</v>
      </c>
      <c r="K18" s="41" t="n">
        <v>0.9</v>
      </c>
      <c r="L18" s="41" t="n">
        <v>1</v>
      </c>
      <c r="M18" s="41" t="n">
        <v>1.1</v>
      </c>
      <c r="O18" s="42" t="n">
        <f aca="false">AVERAGE(B18:M18)</f>
        <v>1.0425</v>
      </c>
      <c r="P18" s="43" t="s">
        <v>66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19" t="s">
        <v>67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customFormat="false" ht="18" hidden="false" customHeight="true" outlineLevel="0" collapsed="false">
      <c r="A21" s="20" t="s">
        <v>68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52</v>
      </c>
      <c r="H21" s="21" t="s">
        <v>53</v>
      </c>
      <c r="I21" s="21" t="s">
        <v>54</v>
      </c>
      <c r="J21" s="21" t="s">
        <v>55</v>
      </c>
      <c r="K21" s="21" t="s">
        <v>56</v>
      </c>
      <c r="L21" s="21" t="s">
        <v>57</v>
      </c>
      <c r="M21" s="21" t="s">
        <v>58</v>
      </c>
      <c r="N21" s="7" t="s">
        <v>69</v>
      </c>
      <c r="O21" s="7" t="s">
        <v>70</v>
      </c>
    </row>
    <row r="22" customFormat="false" ht="16.5" hidden="false" customHeight="true" outlineLevel="0" collapsed="false">
      <c r="A22" s="48" t="s">
        <v>71</v>
      </c>
      <c r="O22" s="49"/>
      <c r="P22" s="49"/>
    </row>
    <row r="23" customFormat="false" ht="16.5" hidden="false" customHeight="true" outlineLevel="0" collapsed="false">
      <c r="A23" s="11" t="s">
        <v>72</v>
      </c>
      <c r="B23" s="50" t="n">
        <f aca="false">$B$4*B$16*0.35</f>
        <v>21700</v>
      </c>
      <c r="C23" s="50" t="n">
        <f aca="false">$B$4*C$16*0.35</f>
        <v>24304</v>
      </c>
      <c r="D23" s="50" t="n">
        <f aca="false">$B$4*D$16*0.35</f>
        <v>17794</v>
      </c>
      <c r="E23" s="50" t="n">
        <f aca="false">$B$4*E$16*0.35</f>
        <v>18445</v>
      </c>
      <c r="F23" s="50" t="n">
        <f aca="false">$B$4*F$16*0.35</f>
        <v>23436</v>
      </c>
      <c r="G23" s="50" t="n">
        <f aca="false">$B$4*G$16*0.35</f>
        <v>25606</v>
      </c>
      <c r="H23" s="50" t="n">
        <f aca="false">$B$4*H$16*0.35</f>
        <v>26474</v>
      </c>
      <c r="I23" s="50" t="n">
        <f aca="false">$B$4*I$16*0.35</f>
        <v>24955</v>
      </c>
      <c r="J23" s="50" t="n">
        <f aca="false">$B$4*J$16*0.35</f>
        <v>19096</v>
      </c>
      <c r="K23" s="50" t="n">
        <f aca="false">$B$4*K$16*0.35</f>
        <v>22785</v>
      </c>
      <c r="L23" s="50" t="n">
        <f aca="false">$B$4*L$16*0.35</f>
        <v>17794</v>
      </c>
      <c r="M23" s="50" t="n">
        <f aca="false">$B$4*M$16*0.35</f>
        <v>18011</v>
      </c>
      <c r="O23" s="50" t="n">
        <f aca="false">SUM(B23:M23)</f>
        <v>260400</v>
      </c>
      <c r="P23" s="25" t="n">
        <f aca="false">IF(O26=0,0,O23/O26)</f>
        <v>0.35</v>
      </c>
    </row>
    <row r="24" customFormat="false" ht="16.5" hidden="false" customHeight="true" outlineLevel="0" collapsed="false">
      <c r="A24" s="16" t="s">
        <v>73</v>
      </c>
      <c r="B24" s="51" t="n">
        <f aca="false">$B$4*B$16*0.55</f>
        <v>34100</v>
      </c>
      <c r="C24" s="51" t="n">
        <f aca="false">$B$4*C$16*0.55</f>
        <v>38192</v>
      </c>
      <c r="D24" s="51" t="n">
        <f aca="false">$B$4*D$16*0.55</f>
        <v>27962</v>
      </c>
      <c r="E24" s="51" t="n">
        <f aca="false">$B$4*E$16*0.55</f>
        <v>28985</v>
      </c>
      <c r="F24" s="51" t="n">
        <f aca="false">$B$4*F$16*0.55</f>
        <v>36828</v>
      </c>
      <c r="G24" s="51" t="n">
        <f aca="false">$B$4*G$16*0.55</f>
        <v>40238</v>
      </c>
      <c r="H24" s="51" t="n">
        <f aca="false">$B$4*H$16*0.55</f>
        <v>41602</v>
      </c>
      <c r="I24" s="51" t="n">
        <f aca="false">$B$4*I$16*0.55</f>
        <v>39215</v>
      </c>
      <c r="J24" s="51" t="n">
        <f aca="false">$B$4*J$16*0.55</f>
        <v>30008</v>
      </c>
      <c r="K24" s="51" t="n">
        <f aca="false">$B$4*K$16*0.55</f>
        <v>35805</v>
      </c>
      <c r="L24" s="51" t="n">
        <f aca="false">$B$4*L$16*0.55</f>
        <v>27962</v>
      </c>
      <c r="M24" s="51" t="n">
        <f aca="false">$B$4*M$16*0.55</f>
        <v>28303</v>
      </c>
      <c r="O24" s="51" t="n">
        <f aca="false">SUM(B24:M24)</f>
        <v>409200</v>
      </c>
      <c r="P24" s="23" t="n">
        <f aca="false">IF(O26=0,0,O24/O26)</f>
        <v>0.55</v>
      </c>
    </row>
    <row r="25" customFormat="false" ht="16.5" hidden="false" customHeight="true" outlineLevel="0" collapsed="false">
      <c r="A25" s="11" t="s">
        <v>74</v>
      </c>
      <c r="B25" s="50" t="n">
        <f aca="false">$B$4*B$16*0.1</f>
        <v>6200</v>
      </c>
      <c r="C25" s="50" t="n">
        <f aca="false">$B$4*C$16*0.1</f>
        <v>6944</v>
      </c>
      <c r="D25" s="50" t="n">
        <f aca="false">$B$4*D$16*0.1</f>
        <v>5084</v>
      </c>
      <c r="E25" s="50" t="n">
        <f aca="false">$B$4*E$16*0.1</f>
        <v>5270</v>
      </c>
      <c r="F25" s="50" t="n">
        <f aca="false">$B$4*F$16*0.1</f>
        <v>6696</v>
      </c>
      <c r="G25" s="50" t="n">
        <f aca="false">$B$4*G$16*0.1</f>
        <v>7316</v>
      </c>
      <c r="H25" s="50" t="n">
        <f aca="false">$B$4*H$16*0.1</f>
        <v>7564</v>
      </c>
      <c r="I25" s="50" t="n">
        <f aca="false">$B$4*I$16*0.1</f>
        <v>7130</v>
      </c>
      <c r="J25" s="50" t="n">
        <f aca="false">$B$4*J$16*0.1</f>
        <v>5456</v>
      </c>
      <c r="K25" s="50" t="n">
        <f aca="false">$B$4*K$16*0.1</f>
        <v>6510</v>
      </c>
      <c r="L25" s="50" t="n">
        <f aca="false">$B$4*L$16*0.1</f>
        <v>5084</v>
      </c>
      <c r="M25" s="50" t="n">
        <f aca="false">$B$4*M$16*0.1</f>
        <v>5146</v>
      </c>
      <c r="O25" s="50" t="n">
        <f aca="false">SUM(B25:M25)</f>
        <v>74400</v>
      </c>
      <c r="P25" s="25" t="n">
        <f aca="false">IF(O26=0,0,O25/O26)</f>
        <v>0.1</v>
      </c>
    </row>
    <row r="26" customFormat="false" ht="16.5" hidden="false" customHeight="true" outlineLevel="0" collapsed="false">
      <c r="A26" s="52" t="s">
        <v>75</v>
      </c>
      <c r="B26" s="53" t="n">
        <f aca="false">B23+B24+B25</f>
        <v>62000</v>
      </c>
      <c r="C26" s="53" t="n">
        <f aca="false">C23+C24+C25</f>
        <v>69440</v>
      </c>
      <c r="D26" s="53" t="n">
        <f aca="false">D23+D24+D25</f>
        <v>50840</v>
      </c>
      <c r="E26" s="53" t="n">
        <f aca="false">E23+E24+E25</f>
        <v>52700</v>
      </c>
      <c r="F26" s="53" t="n">
        <f aca="false">F23+F24+F25</f>
        <v>66960</v>
      </c>
      <c r="G26" s="53" t="n">
        <f aca="false">G23+G24+G25</f>
        <v>73160</v>
      </c>
      <c r="H26" s="53" t="n">
        <f aca="false">H23+H24+H25</f>
        <v>75640</v>
      </c>
      <c r="I26" s="53" t="n">
        <f aca="false">I23+I24+I25</f>
        <v>71300</v>
      </c>
      <c r="J26" s="53" t="n">
        <f aca="false">J23+J24+J25</f>
        <v>54560</v>
      </c>
      <c r="K26" s="53" t="n">
        <f aca="false">K23+K24+K25</f>
        <v>65100</v>
      </c>
      <c r="L26" s="53" t="n">
        <f aca="false">L23+L24+L25</f>
        <v>50840</v>
      </c>
      <c r="M26" s="53" t="n">
        <f aca="false">M23+M24+M25</f>
        <v>51460</v>
      </c>
      <c r="O26" s="54" t="n">
        <f aca="false">SUM(B26:M26)</f>
        <v>744000</v>
      </c>
      <c r="P26" s="55" t="n">
        <f aca="false">IF(O26=0,0,O26/O26)</f>
        <v>1</v>
      </c>
    </row>
    <row r="27" customFormat="false" ht="6" hidden="false" customHeight="true" outlineLevel="0" collapsed="false"/>
    <row r="28" customFormat="false" ht="16.5" hidden="false" customHeight="true" outlineLevel="0" collapsed="false">
      <c r="A28" s="48" t="s">
        <v>76</v>
      </c>
      <c r="O28" s="49"/>
      <c r="P28" s="49"/>
    </row>
    <row r="29" customFormat="false" ht="16.5" hidden="false" customHeight="true" outlineLevel="0" collapsed="false">
      <c r="A29" s="11" t="s">
        <v>77</v>
      </c>
      <c r="B29" s="50" t="n">
        <f aca="false">B26*($B$5+B$17)</f>
        <v>16740</v>
      </c>
      <c r="C29" s="50" t="n">
        <f aca="false">C26*($B$5+C$17)</f>
        <v>18748.8</v>
      </c>
      <c r="D29" s="50" t="n">
        <f aca="false">D26*($B$5+D$17)</f>
        <v>13726.8</v>
      </c>
      <c r="E29" s="50" t="n">
        <f aca="false">E26*($B$5+E$17)</f>
        <v>14229</v>
      </c>
      <c r="F29" s="50" t="n">
        <f aca="false">F26*($B$5+F$17)</f>
        <v>18748.8</v>
      </c>
      <c r="G29" s="50" t="n">
        <f aca="false">G26*($B$5+G$17)</f>
        <v>20484.8</v>
      </c>
      <c r="H29" s="50" t="n">
        <f aca="false">H26*($B$5+H$17)</f>
        <v>21557.4</v>
      </c>
      <c r="I29" s="50" t="n">
        <f aca="false">I26*($B$5+I$17)</f>
        <v>19964</v>
      </c>
      <c r="J29" s="50" t="n">
        <f aca="false">J26*($B$5+J$17)</f>
        <v>14731.2</v>
      </c>
      <c r="K29" s="50" t="n">
        <f aca="false">K26*($B$5+K$17)</f>
        <v>17577</v>
      </c>
      <c r="L29" s="50" t="n">
        <f aca="false">L26*($B$5+L$17)</f>
        <v>13726.8</v>
      </c>
      <c r="M29" s="50" t="n">
        <f aca="false">M26*($B$5+M$17)</f>
        <v>13894.2</v>
      </c>
      <c r="O29" s="50" t="n">
        <f aca="false">SUM(B29:M29)</f>
        <v>204128.8</v>
      </c>
      <c r="P29" s="25" t="n">
        <f aca="false">IF(O26=0,0,O29/O26)</f>
        <v>0.274366666666667</v>
      </c>
    </row>
    <row r="30" customFormat="false" ht="16.5" hidden="false" customHeight="true" outlineLevel="0" collapsed="false">
      <c r="A30" s="16" t="s">
        <v>78</v>
      </c>
      <c r="B30" s="51" t="n">
        <f aca="false">B26*$B$6</f>
        <v>1240</v>
      </c>
      <c r="C30" s="51" t="n">
        <f aca="false">C26*$B$6</f>
        <v>1388.8</v>
      </c>
      <c r="D30" s="51" t="n">
        <f aca="false">D26*$B$6</f>
        <v>1016.8</v>
      </c>
      <c r="E30" s="51" t="n">
        <f aca="false">E26*$B$6</f>
        <v>1054</v>
      </c>
      <c r="F30" s="51" t="n">
        <f aca="false">F26*$B$6</f>
        <v>1339.2</v>
      </c>
      <c r="G30" s="51" t="n">
        <f aca="false">G26*$B$6</f>
        <v>1463.2</v>
      </c>
      <c r="H30" s="51" t="n">
        <f aca="false">H26*$B$6</f>
        <v>1512.8</v>
      </c>
      <c r="I30" s="51" t="n">
        <f aca="false">I26*$B$6</f>
        <v>1426</v>
      </c>
      <c r="J30" s="51" t="n">
        <f aca="false">J26*$B$6</f>
        <v>1091.2</v>
      </c>
      <c r="K30" s="51" t="n">
        <f aca="false">K26*$B$6</f>
        <v>1302</v>
      </c>
      <c r="L30" s="51" t="n">
        <f aca="false">L26*$B$6</f>
        <v>1016.8</v>
      </c>
      <c r="M30" s="51" t="n">
        <f aca="false">M26*$B$6</f>
        <v>1029.2</v>
      </c>
      <c r="O30" s="51" t="n">
        <f aca="false">SUM(B30:M30)</f>
        <v>14880</v>
      </c>
      <c r="P30" s="23" t="n">
        <f aca="false">IF(O26=0,0,O30/O26)</f>
        <v>0.02</v>
      </c>
    </row>
    <row r="31" customFormat="false" ht="16.5" hidden="false" customHeight="true" outlineLevel="0" collapsed="false">
      <c r="A31" s="56" t="s">
        <v>8</v>
      </c>
      <c r="B31" s="53" t="n">
        <f aca="false">B29+B30</f>
        <v>17980</v>
      </c>
      <c r="C31" s="53" t="n">
        <f aca="false">C29+C30</f>
        <v>20137.6</v>
      </c>
      <c r="D31" s="53" t="n">
        <f aca="false">D29+D30</f>
        <v>14743.6</v>
      </c>
      <c r="E31" s="53" t="n">
        <f aca="false">E29+E30</f>
        <v>15283</v>
      </c>
      <c r="F31" s="53" t="n">
        <f aca="false">F29+F30</f>
        <v>20088</v>
      </c>
      <c r="G31" s="53" t="n">
        <f aca="false">G29+G30</f>
        <v>21948</v>
      </c>
      <c r="H31" s="53" t="n">
        <f aca="false">H29+H30</f>
        <v>23070.2</v>
      </c>
      <c r="I31" s="53" t="n">
        <f aca="false">I29+I30</f>
        <v>21390</v>
      </c>
      <c r="J31" s="53" t="n">
        <f aca="false">J29+J30</f>
        <v>15822.4</v>
      </c>
      <c r="K31" s="53" t="n">
        <f aca="false">K29+K30</f>
        <v>18879</v>
      </c>
      <c r="L31" s="53" t="n">
        <f aca="false">L29+L30</f>
        <v>14743.6</v>
      </c>
      <c r="M31" s="53" t="n">
        <f aca="false">M29+M30</f>
        <v>14923.4</v>
      </c>
      <c r="O31" s="54" t="n">
        <f aca="false">SUM(B31:M31)</f>
        <v>219008.8</v>
      </c>
      <c r="P31" s="55" t="n">
        <f aca="false">IF(O26=0,0,O31/O26)</f>
        <v>0.294366666666667</v>
      </c>
    </row>
    <row r="32" customFormat="false" ht="6" hidden="false" customHeight="true" outlineLevel="0" collapsed="false"/>
    <row r="33" customFormat="false" ht="16.5" hidden="false" customHeight="true" outlineLevel="0" collapsed="false">
      <c r="A33" s="56" t="s">
        <v>79</v>
      </c>
      <c r="B33" s="53" t="n">
        <f aca="false">B26-B31</f>
        <v>44020</v>
      </c>
      <c r="C33" s="53" t="n">
        <f aca="false">C26-C31</f>
        <v>49302.4</v>
      </c>
      <c r="D33" s="53" t="n">
        <f aca="false">D26-D31</f>
        <v>36096.4</v>
      </c>
      <c r="E33" s="53" t="n">
        <f aca="false">E26-E31</f>
        <v>37417</v>
      </c>
      <c r="F33" s="53" t="n">
        <f aca="false">F26-F31</f>
        <v>46872</v>
      </c>
      <c r="G33" s="53" t="n">
        <f aca="false">G26-G31</f>
        <v>51212</v>
      </c>
      <c r="H33" s="53" t="n">
        <f aca="false">H26-H31</f>
        <v>52569.8</v>
      </c>
      <c r="I33" s="53" t="n">
        <f aca="false">I26-I31</f>
        <v>49910</v>
      </c>
      <c r="J33" s="53" t="n">
        <f aca="false">J26-J31</f>
        <v>38737.6</v>
      </c>
      <c r="K33" s="53" t="n">
        <f aca="false">K26-K31</f>
        <v>46221</v>
      </c>
      <c r="L33" s="53" t="n">
        <f aca="false">L26-L31</f>
        <v>36096.4</v>
      </c>
      <c r="M33" s="53" t="n">
        <f aca="false">M26-M31</f>
        <v>36536.6</v>
      </c>
      <c r="O33" s="54" t="n">
        <f aca="false">SUM(B33:M33)</f>
        <v>524991.2</v>
      </c>
      <c r="P33" s="55" t="n">
        <f aca="false">IF(O26=0,0,O33/O26)</f>
        <v>0.705633333333333</v>
      </c>
    </row>
    <row r="34" customFormat="false" ht="16.5" hidden="false" customHeight="true" outlineLevel="0" collapsed="false">
      <c r="A34" s="16" t="s">
        <v>10</v>
      </c>
      <c r="B34" s="23" t="n">
        <f aca="false">IF(B26=0,0,B33/B26)</f>
        <v>0.71</v>
      </c>
      <c r="C34" s="23" t="n">
        <f aca="false">IF(C26=0,0,C33/C26)</f>
        <v>0.71</v>
      </c>
      <c r="D34" s="23" t="n">
        <f aca="false">IF(D26=0,0,D33/D26)</f>
        <v>0.71</v>
      </c>
      <c r="E34" s="23" t="n">
        <f aca="false">IF(E26=0,0,E33/E26)</f>
        <v>0.71</v>
      </c>
      <c r="F34" s="23" t="n">
        <f aca="false">IF(F26=0,0,F33/F26)</f>
        <v>0.7</v>
      </c>
      <c r="G34" s="23" t="n">
        <f aca="false">IF(G26=0,0,G33/G26)</f>
        <v>0.7</v>
      </c>
      <c r="H34" s="23" t="n">
        <f aca="false">IF(H26=0,0,H33/H26)</f>
        <v>0.695</v>
      </c>
      <c r="I34" s="23" t="n">
        <f aca="false">IF(I26=0,0,I33/I26)</f>
        <v>0.7</v>
      </c>
      <c r="J34" s="23" t="n">
        <f aca="false">IF(J26=0,0,J33/J26)</f>
        <v>0.71</v>
      </c>
      <c r="K34" s="23" t="n">
        <f aca="false">IF(K26=0,0,K33/K26)</f>
        <v>0.71</v>
      </c>
      <c r="L34" s="23" t="n">
        <f aca="false">IF(L26=0,0,L33/L26)</f>
        <v>0.71</v>
      </c>
      <c r="M34" s="23" t="n">
        <f aca="false">IF(M26=0,0,M33/M26)</f>
        <v>0.71</v>
      </c>
      <c r="O34" s="23" t="n">
        <f aca="false">IF(O26=0,0,O33/O26)</f>
        <v>0.705633333333333</v>
      </c>
      <c r="P34" s="23" t="n">
        <f aca="false">IF(O26=0,0,O33/O26)</f>
        <v>0.705633333333333</v>
      </c>
    </row>
    <row r="35" customFormat="false" ht="6" hidden="false" customHeight="true" outlineLevel="0" collapsed="false"/>
    <row r="36" customFormat="false" ht="16.5" hidden="false" customHeight="true" outlineLevel="0" collapsed="false">
      <c r="A36" s="48" t="s">
        <v>80</v>
      </c>
      <c r="O36" s="49"/>
      <c r="P36" s="49"/>
    </row>
    <row r="37" customFormat="false" ht="16.5" hidden="false" customHeight="true" outlineLevel="0" collapsed="false">
      <c r="A37" s="11" t="s">
        <v>81</v>
      </c>
      <c r="B37" s="50" t="n">
        <f aca="false">B26*$B$7</f>
        <v>13640</v>
      </c>
      <c r="C37" s="50" t="n">
        <f aca="false">C26*$B$7</f>
        <v>15276.8</v>
      </c>
      <c r="D37" s="50" t="n">
        <f aca="false">D26*$B$7</f>
        <v>11184.8</v>
      </c>
      <c r="E37" s="50" t="n">
        <f aca="false">E26*$B$7</f>
        <v>11594</v>
      </c>
      <c r="F37" s="50" t="n">
        <f aca="false">F26*$B$7</f>
        <v>14731.2</v>
      </c>
      <c r="G37" s="50" t="n">
        <f aca="false">G26*$B$7</f>
        <v>16095.2</v>
      </c>
      <c r="H37" s="50" t="n">
        <f aca="false">H26*$B$7</f>
        <v>16640.8</v>
      </c>
      <c r="I37" s="50" t="n">
        <f aca="false">I26*$B$7</f>
        <v>15686</v>
      </c>
      <c r="J37" s="50" t="n">
        <f aca="false">J26*$B$7</f>
        <v>12003.2</v>
      </c>
      <c r="K37" s="50" t="n">
        <f aca="false">K26*$B$7</f>
        <v>14322</v>
      </c>
      <c r="L37" s="50" t="n">
        <f aca="false">L26*$B$7</f>
        <v>11184.8</v>
      </c>
      <c r="M37" s="50" t="n">
        <f aca="false">M26*$B$7</f>
        <v>11321.2</v>
      </c>
      <c r="O37" s="50" t="n">
        <f aca="false">SUM(B37:M37)</f>
        <v>163680</v>
      </c>
      <c r="P37" s="25" t="n">
        <f aca="false">IF(O26=0,0,O37/O26)</f>
        <v>0.22</v>
      </c>
    </row>
    <row r="38" customFormat="false" ht="16.5" hidden="false" customHeight="true" outlineLevel="0" collapsed="false">
      <c r="A38" s="16" t="s">
        <v>82</v>
      </c>
      <c r="B38" s="17" t="n">
        <f aca="false">$B$8</f>
        <v>3500</v>
      </c>
      <c r="C38" s="17" t="n">
        <f aca="false">$B$8</f>
        <v>3500</v>
      </c>
      <c r="D38" s="17" t="n">
        <f aca="false">$B$8</f>
        <v>3500</v>
      </c>
      <c r="E38" s="17" t="n">
        <f aca="false">$B$8</f>
        <v>3500</v>
      </c>
      <c r="F38" s="17" t="n">
        <f aca="false">$B$8</f>
        <v>3500</v>
      </c>
      <c r="G38" s="17" t="n">
        <f aca="false">$B$8</f>
        <v>3500</v>
      </c>
      <c r="H38" s="17" t="n">
        <f aca="false">$B$8</f>
        <v>3500</v>
      </c>
      <c r="I38" s="17" t="n">
        <f aca="false">$B$8</f>
        <v>3500</v>
      </c>
      <c r="J38" s="17" t="n">
        <f aca="false">$B$8</f>
        <v>3500</v>
      </c>
      <c r="K38" s="17" t="n">
        <f aca="false">$B$8</f>
        <v>3500</v>
      </c>
      <c r="L38" s="17" t="n">
        <f aca="false">$B$8</f>
        <v>3500</v>
      </c>
      <c r="M38" s="17" t="n">
        <f aca="false">$B$8</f>
        <v>3500</v>
      </c>
      <c r="O38" s="51" t="n">
        <f aca="false">SUM(B38:M38)</f>
        <v>42000</v>
      </c>
      <c r="P38" s="23" t="n">
        <f aca="false">IF(O26=0,0,O38/O26)</f>
        <v>0.0564516129032258</v>
      </c>
    </row>
    <row r="39" customFormat="false" ht="16.5" hidden="false" customHeight="true" outlineLevel="0" collapsed="false">
      <c r="A39" s="11" t="s">
        <v>83</v>
      </c>
      <c r="B39" s="12" t="n">
        <f aca="false">$B$9</f>
        <v>6000</v>
      </c>
      <c r="C39" s="12" t="n">
        <f aca="false">$B$9</f>
        <v>6000</v>
      </c>
      <c r="D39" s="12" t="n">
        <f aca="false">$B$9</f>
        <v>6000</v>
      </c>
      <c r="E39" s="12" t="n">
        <f aca="false">$B$9</f>
        <v>6000</v>
      </c>
      <c r="F39" s="12" t="n">
        <f aca="false">$B$9</f>
        <v>6000</v>
      </c>
      <c r="G39" s="12" t="n">
        <f aca="false">$B$9</f>
        <v>6000</v>
      </c>
      <c r="H39" s="12" t="n">
        <f aca="false">$B$9</f>
        <v>6000</v>
      </c>
      <c r="I39" s="12" t="n">
        <f aca="false">$B$9</f>
        <v>6000</v>
      </c>
      <c r="J39" s="12" t="n">
        <f aca="false">$B$9</f>
        <v>6000</v>
      </c>
      <c r="K39" s="12" t="n">
        <f aca="false">$B$9</f>
        <v>6000</v>
      </c>
      <c r="L39" s="12" t="n">
        <f aca="false">$B$9</f>
        <v>6000</v>
      </c>
      <c r="M39" s="12" t="n">
        <f aca="false">$B$9</f>
        <v>6000</v>
      </c>
      <c r="O39" s="50" t="n">
        <f aca="false">SUM(B39:M39)</f>
        <v>72000</v>
      </c>
      <c r="P39" s="25" t="n">
        <f aca="false">IF(O26=0,0,O39/O26)</f>
        <v>0.0967741935483871</v>
      </c>
    </row>
    <row r="40" customFormat="false" ht="16.5" hidden="false" customHeight="true" outlineLevel="0" collapsed="false">
      <c r="A40" s="16" t="s">
        <v>84</v>
      </c>
      <c r="B40" s="51" t="n">
        <f aca="false">$B$10*B$18</f>
        <v>1265</v>
      </c>
      <c r="C40" s="51" t="n">
        <f aca="false">$B$10*C$18</f>
        <v>1265</v>
      </c>
      <c r="D40" s="51" t="n">
        <f aca="false">$B$10*D$18</f>
        <v>1100</v>
      </c>
      <c r="E40" s="51" t="n">
        <f aca="false">$B$10*E$18</f>
        <v>990</v>
      </c>
      <c r="F40" s="51" t="n">
        <f aca="false">$B$10*F$18</f>
        <v>1045</v>
      </c>
      <c r="G40" s="51" t="n">
        <f aca="false">$B$10*G$18</f>
        <v>1155</v>
      </c>
      <c r="H40" s="51" t="n">
        <f aca="false">$B$10*H$18</f>
        <v>1298</v>
      </c>
      <c r="I40" s="51" t="n">
        <f aca="false">$B$10*I$18</f>
        <v>1298</v>
      </c>
      <c r="J40" s="51" t="n">
        <f aca="false">$B$10*J$18</f>
        <v>1045</v>
      </c>
      <c r="K40" s="51" t="n">
        <f aca="false">$B$10*K$18</f>
        <v>990</v>
      </c>
      <c r="L40" s="51" t="n">
        <f aca="false">$B$10*L$18</f>
        <v>1100</v>
      </c>
      <c r="M40" s="51" t="n">
        <f aca="false">$B$10*M$18</f>
        <v>1210</v>
      </c>
      <c r="O40" s="51" t="n">
        <f aca="false">SUM(B40:M40)</f>
        <v>13761</v>
      </c>
      <c r="P40" s="23" t="n">
        <f aca="false">IF(O26=0,0,O40/O26)</f>
        <v>0.0184959677419355</v>
      </c>
    </row>
    <row r="41" customFormat="false" ht="16.5" hidden="false" customHeight="true" outlineLevel="0" collapsed="false">
      <c r="A41" s="11" t="s">
        <v>85</v>
      </c>
      <c r="B41" s="50" t="n">
        <f aca="false">B26*$B$11</f>
        <v>2480</v>
      </c>
      <c r="C41" s="50" t="n">
        <f aca="false">C26*$B$11</f>
        <v>2777.6</v>
      </c>
      <c r="D41" s="50" t="n">
        <f aca="false">D26*$B$11</f>
        <v>2033.6</v>
      </c>
      <c r="E41" s="50" t="n">
        <f aca="false">E26*$B$11</f>
        <v>2108</v>
      </c>
      <c r="F41" s="50" t="n">
        <f aca="false">F26*$B$11</f>
        <v>2678.4</v>
      </c>
      <c r="G41" s="50" t="n">
        <f aca="false">G26*$B$11</f>
        <v>2926.4</v>
      </c>
      <c r="H41" s="50" t="n">
        <f aca="false">H26*$B$11</f>
        <v>3025.6</v>
      </c>
      <c r="I41" s="50" t="n">
        <f aca="false">I26*$B$11</f>
        <v>2852</v>
      </c>
      <c r="J41" s="50" t="n">
        <f aca="false">J26*$B$11</f>
        <v>2182.4</v>
      </c>
      <c r="K41" s="50" t="n">
        <f aca="false">K26*$B$11</f>
        <v>2604</v>
      </c>
      <c r="L41" s="50" t="n">
        <f aca="false">L26*$B$11</f>
        <v>2033.6</v>
      </c>
      <c r="M41" s="50" t="n">
        <f aca="false">M26*$B$11</f>
        <v>2058.4</v>
      </c>
      <c r="O41" s="50" t="n">
        <f aca="false">SUM(B41:M41)</f>
        <v>29760</v>
      </c>
      <c r="P41" s="25" t="n">
        <f aca="false">IF(O26=0,0,O41/O26)</f>
        <v>0.04</v>
      </c>
    </row>
    <row r="42" customFormat="false" ht="16.5" hidden="false" customHeight="true" outlineLevel="0" collapsed="false">
      <c r="A42" s="16" t="s">
        <v>86</v>
      </c>
      <c r="B42" s="17" t="n">
        <f aca="false">$B$12</f>
        <v>400</v>
      </c>
      <c r="C42" s="17" t="n">
        <f aca="false">$B$12</f>
        <v>400</v>
      </c>
      <c r="D42" s="17" t="n">
        <f aca="false">$B$12</f>
        <v>400</v>
      </c>
      <c r="E42" s="17" t="n">
        <f aca="false">$B$12</f>
        <v>400</v>
      </c>
      <c r="F42" s="17" t="n">
        <f aca="false">$B$12</f>
        <v>400</v>
      </c>
      <c r="G42" s="17" t="n">
        <f aca="false">$B$12</f>
        <v>400</v>
      </c>
      <c r="H42" s="17" t="n">
        <f aca="false">$B$12</f>
        <v>400</v>
      </c>
      <c r="I42" s="17" t="n">
        <f aca="false">$B$12</f>
        <v>400</v>
      </c>
      <c r="J42" s="17" t="n">
        <f aca="false">$B$12</f>
        <v>400</v>
      </c>
      <c r="K42" s="17" t="n">
        <f aca="false">$B$12</f>
        <v>400</v>
      </c>
      <c r="L42" s="17" t="n">
        <f aca="false">$B$12</f>
        <v>400</v>
      </c>
      <c r="M42" s="17" t="n">
        <f aca="false">$B$12</f>
        <v>400</v>
      </c>
      <c r="O42" s="51" t="n">
        <f aca="false">SUM(B42:M42)</f>
        <v>4800</v>
      </c>
      <c r="P42" s="23" t="n">
        <f aca="false">IF(O26=0,0,O42/O26)</f>
        <v>0.00645161290322581</v>
      </c>
    </row>
    <row r="43" customFormat="false" ht="16.5" hidden="false" customHeight="true" outlineLevel="0" collapsed="false">
      <c r="A43" s="56" t="s">
        <v>11</v>
      </c>
      <c r="B43" s="53" t="n">
        <f aca="false">B37+B38+B39+B40+B41+B42</f>
        <v>27285</v>
      </c>
      <c r="C43" s="53" t="n">
        <f aca="false">C37+C38+C39+C40+C41+C42</f>
        <v>29219.4</v>
      </c>
      <c r="D43" s="53" t="n">
        <f aca="false">D37+D38+D39+D40+D41+D42</f>
        <v>24218.4</v>
      </c>
      <c r="E43" s="53" t="n">
        <f aca="false">E37+E38+E39+E40+E41+E42</f>
        <v>24592</v>
      </c>
      <c r="F43" s="53" t="n">
        <f aca="false">F37+F38+F39+F40+F41+F42</f>
        <v>28354.6</v>
      </c>
      <c r="G43" s="53" t="n">
        <f aca="false">G37+G38+G39+G40+G41+G42</f>
        <v>30076.6</v>
      </c>
      <c r="H43" s="53" t="n">
        <f aca="false">H37+H38+H39+H40+H41+H42</f>
        <v>30864.4</v>
      </c>
      <c r="I43" s="53" t="n">
        <f aca="false">I37+I38+I39+I40+I41+I42</f>
        <v>29736</v>
      </c>
      <c r="J43" s="53" t="n">
        <f aca="false">J37+J38+J39+J40+J41+J42</f>
        <v>25130.6</v>
      </c>
      <c r="K43" s="53" t="n">
        <f aca="false">K37+K38+K39+K40+K41+K42</f>
        <v>27816</v>
      </c>
      <c r="L43" s="53" t="n">
        <f aca="false">L37+L38+L39+L40+L41+L42</f>
        <v>24218.4</v>
      </c>
      <c r="M43" s="53" t="n">
        <f aca="false">M37+M38+M39+M40+M41+M42</f>
        <v>24489.6</v>
      </c>
      <c r="O43" s="54" t="n">
        <f aca="false">SUM(B43:M43)</f>
        <v>326001</v>
      </c>
      <c r="P43" s="55" t="n">
        <f aca="false">IF(O26=0,0,O43/O26)</f>
        <v>0.438173387096774</v>
      </c>
    </row>
    <row r="44" customFormat="false" ht="6" hidden="false" customHeight="true" outlineLevel="0" collapsed="false"/>
    <row r="45" customFormat="false" ht="16.5" hidden="false" customHeight="true" outlineLevel="0" collapsed="false">
      <c r="A45" s="56" t="s">
        <v>87</v>
      </c>
      <c r="B45" s="53" t="n">
        <f aca="false">B33-B43</f>
        <v>16735</v>
      </c>
      <c r="C45" s="53" t="n">
        <f aca="false">C33-C43</f>
        <v>20083</v>
      </c>
      <c r="D45" s="53" t="n">
        <f aca="false">D33-D43</f>
        <v>11878</v>
      </c>
      <c r="E45" s="53" t="n">
        <f aca="false">E33-E43</f>
        <v>12825</v>
      </c>
      <c r="F45" s="53" t="n">
        <f aca="false">F33-F43</f>
        <v>18517.4</v>
      </c>
      <c r="G45" s="53" t="n">
        <f aca="false">G33-G43</f>
        <v>21135.4</v>
      </c>
      <c r="H45" s="53" t="n">
        <f aca="false">H33-H43</f>
        <v>21705.4</v>
      </c>
      <c r="I45" s="53" t="n">
        <f aca="false">I33-I43</f>
        <v>20174</v>
      </c>
      <c r="J45" s="53" t="n">
        <f aca="false">J33-J43</f>
        <v>13607</v>
      </c>
      <c r="K45" s="53" t="n">
        <f aca="false">K33-K43</f>
        <v>18405</v>
      </c>
      <c r="L45" s="53" t="n">
        <f aca="false">L33-L43</f>
        <v>11878</v>
      </c>
      <c r="M45" s="53" t="n">
        <f aca="false">M33-M43</f>
        <v>12047</v>
      </c>
      <c r="O45" s="54" t="n">
        <f aca="false">SUM(B45:M45)</f>
        <v>198990.2</v>
      </c>
      <c r="P45" s="55" t="n">
        <f aca="false">IF(O26=0,0,O45/O26)</f>
        <v>0.267459946236559</v>
      </c>
    </row>
    <row r="46" customFormat="false" ht="16.5" hidden="false" customHeight="true" outlineLevel="0" collapsed="false">
      <c r="A46" s="16" t="s">
        <v>88</v>
      </c>
      <c r="B46" s="23" t="n">
        <f aca="false">IF(B26=0,0,B45/B26)</f>
        <v>0.26991935483871</v>
      </c>
      <c r="C46" s="23" t="n">
        <f aca="false">IF(C26=0,0,C45/C26)</f>
        <v>0.289213709677419</v>
      </c>
      <c r="D46" s="23" t="n">
        <f aca="false">IF(D26=0,0,D45/D26)</f>
        <v>0.233634933123525</v>
      </c>
      <c r="E46" s="23" t="n">
        <f aca="false">IF(E26=0,0,E45/E26)</f>
        <v>0.243358633776091</v>
      </c>
      <c r="F46" s="23" t="n">
        <f aca="false">IF(F26=0,0,F45/F26)</f>
        <v>0.276544205495818</v>
      </c>
      <c r="G46" s="23" t="n">
        <f aca="false">IF(G26=0,0,G45/G26)</f>
        <v>0.288892837616184</v>
      </c>
      <c r="H46" s="23" t="n">
        <f aca="false">IF(H26=0,0,H45/H26)</f>
        <v>0.286956636700159</v>
      </c>
      <c r="I46" s="23" t="n">
        <f aca="false">IF(I26=0,0,I45/I26)</f>
        <v>0.282945301542777</v>
      </c>
      <c r="J46" s="23" t="n">
        <f aca="false">IF(J26=0,0,J45/J26)</f>
        <v>0.249395161290323</v>
      </c>
      <c r="K46" s="23" t="n">
        <f aca="false">IF(K26=0,0,K45/K26)</f>
        <v>0.282718894009217</v>
      </c>
      <c r="L46" s="23" t="n">
        <f aca="false">IF(L26=0,0,L45/L26)</f>
        <v>0.233634933123525</v>
      </c>
      <c r="M46" s="23" t="n">
        <f aca="false">IF(M26=0,0,M45/M26)</f>
        <v>0.234104158569763</v>
      </c>
      <c r="O46" s="23" t="n">
        <f aca="false">IF(O26=0,0,O45/O26)</f>
        <v>0.267459946236559</v>
      </c>
      <c r="P46" s="23" t="n">
        <f aca="false">IF(O26=0,0,O45/O26)</f>
        <v>0.267459946236559</v>
      </c>
    </row>
  </sheetData>
  <mergeCells count="5">
    <mergeCell ref="A1:P1"/>
    <mergeCell ref="A2:P2"/>
    <mergeCell ref="A3:P3"/>
    <mergeCell ref="A14:P14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14" min="2" style="0" width="10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27.75" hidden="false" customHeight="true" outlineLevel="0" collapsed="false">
      <c r="A1" s="57" t="s">
        <v>92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customFormat="false" ht="1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19" t="s">
        <v>36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customFormat="false" ht="16.5" hidden="false" customHeight="true" outlineLevel="0" collapsed="false">
      <c r="A4" s="16" t="s">
        <v>37</v>
      </c>
      <c r="B4" s="34" t="n">
        <v>75000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customFormat="false" ht="16.5" hidden="false" customHeight="true" outlineLevel="0" collapsed="false">
      <c r="A5" s="11" t="s">
        <v>38</v>
      </c>
      <c r="B5" s="36" t="n">
        <v>0.3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customFormat="false" ht="16.5" hidden="false" customHeight="true" outlineLevel="0" collapsed="false">
      <c r="A6" s="16" t="s">
        <v>39</v>
      </c>
      <c r="B6" s="36" t="n">
        <v>0.02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customFormat="false" ht="16.5" hidden="false" customHeight="true" outlineLevel="0" collapsed="false">
      <c r="A7" s="11" t="s">
        <v>40</v>
      </c>
      <c r="B7" s="36" t="n">
        <v>0.2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customFormat="false" ht="16.5" hidden="false" customHeight="true" outlineLevel="0" collapsed="false">
      <c r="A8" s="16" t="s">
        <v>41</v>
      </c>
      <c r="B8" s="34" t="n">
        <v>4200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customFormat="false" ht="16.5" hidden="false" customHeight="true" outlineLevel="0" collapsed="false">
      <c r="A9" s="11" t="s">
        <v>42</v>
      </c>
      <c r="B9" s="34" t="n">
        <v>7800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customFormat="false" ht="16.5" hidden="false" customHeight="true" outlineLevel="0" collapsed="false">
      <c r="A10" s="16" t="s">
        <v>43</v>
      </c>
      <c r="B10" s="34" t="n">
        <v>1400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customFormat="false" ht="16.5" hidden="false" customHeight="true" outlineLevel="0" collapsed="false">
      <c r="A11" s="11" t="s">
        <v>44</v>
      </c>
      <c r="B11" s="36" t="n">
        <v>0.03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customFormat="false" ht="16.5" hidden="false" customHeight="true" outlineLevel="0" collapsed="false">
      <c r="A12" s="16" t="s">
        <v>45</v>
      </c>
      <c r="B12" s="34" t="n">
        <v>550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customFormat="false" ht="7.5" hidden="false" customHeight="true" outlineLevel="0" collapsed="false"/>
    <row r="14" customFormat="false" ht="18" hidden="false" customHeight="true" outlineLevel="0" collapsed="false">
      <c r="A14" s="19" t="s">
        <v>46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customFormat="false" ht="15.75" hidden="false" customHeight="true" outlineLevel="0" collapsed="false">
      <c r="A15" s="38"/>
      <c r="B15" s="39" t="s">
        <v>47</v>
      </c>
      <c r="C15" s="39" t="s">
        <v>48</v>
      </c>
      <c r="D15" s="39" t="s">
        <v>49</v>
      </c>
      <c r="E15" s="39" t="s">
        <v>50</v>
      </c>
      <c r="F15" s="39" t="s">
        <v>51</v>
      </c>
      <c r="G15" s="39" t="s">
        <v>52</v>
      </c>
      <c r="H15" s="39" t="s">
        <v>53</v>
      </c>
      <c r="I15" s="39" t="s">
        <v>54</v>
      </c>
      <c r="J15" s="39" t="s">
        <v>55</v>
      </c>
      <c r="K15" s="39" t="s">
        <v>56</v>
      </c>
      <c r="L15" s="39" t="s">
        <v>57</v>
      </c>
      <c r="M15" s="39" t="s">
        <v>58</v>
      </c>
      <c r="O15" s="40" t="s">
        <v>59</v>
      </c>
      <c r="P15" s="40" t="s">
        <v>60</v>
      </c>
    </row>
    <row r="16" customFormat="false" ht="16.5" hidden="false" customHeight="true" outlineLevel="0" collapsed="false">
      <c r="A16" s="16" t="s">
        <v>61</v>
      </c>
      <c r="B16" s="41" t="n">
        <v>0.98</v>
      </c>
      <c r="C16" s="41" t="n">
        <v>1.02</v>
      </c>
      <c r="D16" s="41" t="n">
        <v>1.02</v>
      </c>
      <c r="E16" s="41" t="n">
        <v>1</v>
      </c>
      <c r="F16" s="41" t="n">
        <v>1.02</v>
      </c>
      <c r="G16" s="41" t="n">
        <v>1</v>
      </c>
      <c r="H16" s="41" t="n">
        <v>0.97</v>
      </c>
      <c r="I16" s="41" t="n">
        <v>0.98</v>
      </c>
      <c r="J16" s="41" t="n">
        <v>1</v>
      </c>
      <c r="K16" s="41" t="n">
        <v>1.01</v>
      </c>
      <c r="L16" s="41" t="n">
        <v>1</v>
      </c>
      <c r="M16" s="41" t="n">
        <v>1</v>
      </c>
      <c r="O16" s="42" t="n">
        <f aca="false">AVERAGE(B16:M16)</f>
        <v>1</v>
      </c>
      <c r="P16" s="43" t="s">
        <v>62</v>
      </c>
    </row>
    <row r="17" customFormat="false" ht="16.5" hidden="false" customHeight="true" outlineLevel="0" collapsed="false">
      <c r="A17" s="44" t="s">
        <v>63</v>
      </c>
      <c r="B17" s="45" t="n">
        <v>0</v>
      </c>
      <c r="C17" s="45" t="n">
        <v>0</v>
      </c>
      <c r="D17" s="45" t="n">
        <v>0</v>
      </c>
      <c r="E17" s="45" t="n">
        <v>0</v>
      </c>
      <c r="F17" s="45" t="n">
        <v>0</v>
      </c>
      <c r="G17" s="45" t="n">
        <v>0.005</v>
      </c>
      <c r="H17" s="45" t="n">
        <v>0.008</v>
      </c>
      <c r="I17" s="45" t="n">
        <v>0.005</v>
      </c>
      <c r="J17" s="45" t="n">
        <v>0</v>
      </c>
      <c r="K17" s="45" t="n">
        <v>0</v>
      </c>
      <c r="L17" s="45" t="n">
        <v>0</v>
      </c>
      <c r="M17" s="45" t="n">
        <v>0</v>
      </c>
      <c r="O17" s="46" t="n">
        <f aca="false">AVERAGE(B17:M17)</f>
        <v>0.0015</v>
      </c>
      <c r="P17" s="47" t="s">
        <v>64</v>
      </c>
    </row>
    <row r="18" customFormat="false" ht="16.5" hidden="false" customHeight="true" outlineLevel="0" collapsed="false">
      <c r="A18" s="16" t="s">
        <v>65</v>
      </c>
      <c r="B18" s="41" t="n">
        <v>1.15</v>
      </c>
      <c r="C18" s="41" t="n">
        <v>1.15</v>
      </c>
      <c r="D18" s="41" t="n">
        <v>1</v>
      </c>
      <c r="E18" s="41" t="n">
        <v>0.9</v>
      </c>
      <c r="F18" s="41" t="n">
        <v>0.95</v>
      </c>
      <c r="G18" s="41" t="n">
        <v>1.05</v>
      </c>
      <c r="H18" s="41" t="n">
        <v>1.18</v>
      </c>
      <c r="I18" s="41" t="n">
        <v>1.18</v>
      </c>
      <c r="J18" s="41" t="n">
        <v>0.95</v>
      </c>
      <c r="K18" s="41" t="n">
        <v>0.9</v>
      </c>
      <c r="L18" s="41" t="n">
        <v>1</v>
      </c>
      <c r="M18" s="41" t="n">
        <v>1.1</v>
      </c>
      <c r="O18" s="42" t="n">
        <f aca="false">AVERAGE(B18:M18)</f>
        <v>1.0425</v>
      </c>
      <c r="P18" s="43" t="s">
        <v>66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19" t="s">
        <v>67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customFormat="false" ht="18" hidden="false" customHeight="true" outlineLevel="0" collapsed="false">
      <c r="A21" s="20" t="s">
        <v>68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52</v>
      </c>
      <c r="H21" s="21" t="s">
        <v>53</v>
      </c>
      <c r="I21" s="21" t="s">
        <v>54</v>
      </c>
      <c r="J21" s="21" t="s">
        <v>55</v>
      </c>
      <c r="K21" s="21" t="s">
        <v>56</v>
      </c>
      <c r="L21" s="21" t="s">
        <v>57</v>
      </c>
      <c r="M21" s="21" t="s">
        <v>58</v>
      </c>
      <c r="N21" s="7" t="s">
        <v>69</v>
      </c>
      <c r="O21" s="7" t="s">
        <v>70</v>
      </c>
    </row>
    <row r="22" customFormat="false" ht="16.5" hidden="false" customHeight="true" outlineLevel="0" collapsed="false">
      <c r="A22" s="48" t="s">
        <v>71</v>
      </c>
      <c r="O22" s="49"/>
      <c r="P22" s="49"/>
    </row>
    <row r="23" customFormat="false" ht="16.5" hidden="false" customHeight="true" outlineLevel="0" collapsed="false">
      <c r="A23" s="11" t="s">
        <v>93</v>
      </c>
      <c r="B23" s="50" t="n">
        <f aca="false">$B$4*B$16*0.7</f>
        <v>51450</v>
      </c>
      <c r="C23" s="50" t="n">
        <f aca="false">$B$4*C$16*0.7</f>
        <v>53550</v>
      </c>
      <c r="D23" s="50" t="n">
        <f aca="false">$B$4*D$16*0.7</f>
        <v>53550</v>
      </c>
      <c r="E23" s="50" t="n">
        <f aca="false">$B$4*E$16*0.7</f>
        <v>52500</v>
      </c>
      <c r="F23" s="50" t="n">
        <f aca="false">$B$4*F$16*0.7</f>
        <v>53550</v>
      </c>
      <c r="G23" s="50" t="n">
        <f aca="false">$B$4*G$16*0.7</f>
        <v>52500</v>
      </c>
      <c r="H23" s="50" t="n">
        <f aca="false">$B$4*H$16*0.7</f>
        <v>50925</v>
      </c>
      <c r="I23" s="50" t="n">
        <f aca="false">$B$4*I$16*0.7</f>
        <v>51450</v>
      </c>
      <c r="J23" s="50" t="n">
        <f aca="false">$B$4*J$16*0.7</f>
        <v>52500</v>
      </c>
      <c r="K23" s="50" t="n">
        <f aca="false">$B$4*K$16*0.7</f>
        <v>53025</v>
      </c>
      <c r="L23" s="50" t="n">
        <f aca="false">$B$4*L$16*0.7</f>
        <v>52500</v>
      </c>
      <c r="M23" s="50" t="n">
        <f aca="false">$B$4*M$16*0.7</f>
        <v>52500</v>
      </c>
      <c r="O23" s="50" t="n">
        <f aca="false">SUM(B23:M23)</f>
        <v>630000</v>
      </c>
      <c r="P23" s="25" t="n">
        <f aca="false">IF(O26=0,0,O23/O26)</f>
        <v>0.7</v>
      </c>
    </row>
    <row r="24" customFormat="false" ht="16.5" hidden="false" customHeight="true" outlineLevel="0" collapsed="false">
      <c r="A24" s="16" t="s">
        <v>94</v>
      </c>
      <c r="B24" s="51" t="n">
        <f aca="false">$B$4*B$16*0.25</f>
        <v>18375</v>
      </c>
      <c r="C24" s="51" t="n">
        <f aca="false">$B$4*C$16*0.25</f>
        <v>19125</v>
      </c>
      <c r="D24" s="51" t="n">
        <f aca="false">$B$4*D$16*0.25</f>
        <v>19125</v>
      </c>
      <c r="E24" s="51" t="n">
        <f aca="false">$B$4*E$16*0.25</f>
        <v>18750</v>
      </c>
      <c r="F24" s="51" t="n">
        <f aca="false">$B$4*F$16*0.25</f>
        <v>19125</v>
      </c>
      <c r="G24" s="51" t="n">
        <f aca="false">$B$4*G$16*0.25</f>
        <v>18750</v>
      </c>
      <c r="H24" s="51" t="n">
        <f aca="false">$B$4*H$16*0.25</f>
        <v>18187.5</v>
      </c>
      <c r="I24" s="51" t="n">
        <f aca="false">$B$4*I$16*0.25</f>
        <v>18375</v>
      </c>
      <c r="J24" s="51" t="n">
        <f aca="false">$B$4*J$16*0.25</f>
        <v>18750</v>
      </c>
      <c r="K24" s="51" t="n">
        <f aca="false">$B$4*K$16*0.25</f>
        <v>18937.5</v>
      </c>
      <c r="L24" s="51" t="n">
        <f aca="false">$B$4*L$16*0.25</f>
        <v>18750</v>
      </c>
      <c r="M24" s="51" t="n">
        <f aca="false">$B$4*M$16*0.25</f>
        <v>18750</v>
      </c>
      <c r="O24" s="51" t="n">
        <f aca="false">SUM(B24:M24)</f>
        <v>225000</v>
      </c>
      <c r="P24" s="23" t="n">
        <f aca="false">IF(O26=0,0,O24/O26)</f>
        <v>0.25</v>
      </c>
    </row>
    <row r="25" customFormat="false" ht="16.5" hidden="false" customHeight="true" outlineLevel="0" collapsed="false">
      <c r="A25" s="11" t="s">
        <v>95</v>
      </c>
      <c r="B25" s="50" t="n">
        <f aca="false">$B$4*B$16*0.05</f>
        <v>3675</v>
      </c>
      <c r="C25" s="50" t="n">
        <f aca="false">$B$4*C$16*0.05</f>
        <v>3825</v>
      </c>
      <c r="D25" s="50" t="n">
        <f aca="false">$B$4*D$16*0.05</f>
        <v>3825</v>
      </c>
      <c r="E25" s="50" t="n">
        <f aca="false">$B$4*E$16*0.05</f>
        <v>3750</v>
      </c>
      <c r="F25" s="50" t="n">
        <f aca="false">$B$4*F$16*0.05</f>
        <v>3825</v>
      </c>
      <c r="G25" s="50" t="n">
        <f aca="false">$B$4*G$16*0.05</f>
        <v>3750</v>
      </c>
      <c r="H25" s="50" t="n">
        <f aca="false">$B$4*H$16*0.05</f>
        <v>3637.5</v>
      </c>
      <c r="I25" s="50" t="n">
        <f aca="false">$B$4*I$16*0.05</f>
        <v>3675</v>
      </c>
      <c r="J25" s="50" t="n">
        <f aca="false">$B$4*J$16*0.05</f>
        <v>3750</v>
      </c>
      <c r="K25" s="50" t="n">
        <f aca="false">$B$4*K$16*0.05</f>
        <v>3787.5</v>
      </c>
      <c r="L25" s="50" t="n">
        <f aca="false">$B$4*L$16*0.05</f>
        <v>3750</v>
      </c>
      <c r="M25" s="50" t="n">
        <f aca="false">$B$4*M$16*0.05</f>
        <v>3750</v>
      </c>
      <c r="O25" s="50" t="n">
        <f aca="false">SUM(B25:M25)</f>
        <v>45000</v>
      </c>
      <c r="P25" s="25" t="n">
        <f aca="false">IF(O26=0,0,O25/O26)</f>
        <v>0.05</v>
      </c>
    </row>
    <row r="26" customFormat="false" ht="16.5" hidden="false" customHeight="true" outlineLevel="0" collapsed="false">
      <c r="A26" s="52" t="s">
        <v>75</v>
      </c>
      <c r="B26" s="53" t="n">
        <f aca="false">B23+B24+B25</f>
        <v>73500</v>
      </c>
      <c r="C26" s="53" t="n">
        <f aca="false">C23+C24+C25</f>
        <v>76500</v>
      </c>
      <c r="D26" s="53" t="n">
        <f aca="false">D23+D24+D25</f>
        <v>76500</v>
      </c>
      <c r="E26" s="53" t="n">
        <f aca="false">E23+E24+E25</f>
        <v>75000</v>
      </c>
      <c r="F26" s="53" t="n">
        <f aca="false">F23+F24+F25</f>
        <v>76500</v>
      </c>
      <c r="G26" s="53" t="n">
        <f aca="false">G23+G24+G25</f>
        <v>75000</v>
      </c>
      <c r="H26" s="53" t="n">
        <f aca="false">H23+H24+H25</f>
        <v>72750</v>
      </c>
      <c r="I26" s="53" t="n">
        <f aca="false">I23+I24+I25</f>
        <v>73500</v>
      </c>
      <c r="J26" s="53" t="n">
        <f aca="false">J23+J24+J25</f>
        <v>75000</v>
      </c>
      <c r="K26" s="53" t="n">
        <f aca="false">K23+K24+K25</f>
        <v>75750</v>
      </c>
      <c r="L26" s="53" t="n">
        <f aca="false">L23+L24+L25</f>
        <v>75000</v>
      </c>
      <c r="M26" s="53" t="n">
        <f aca="false">M23+M24+M25</f>
        <v>75000</v>
      </c>
      <c r="O26" s="54" t="n">
        <f aca="false">SUM(B26:M26)</f>
        <v>900000</v>
      </c>
      <c r="P26" s="55" t="n">
        <f aca="false">IF(O26=0,0,O26/O26)</f>
        <v>1</v>
      </c>
    </row>
    <row r="27" customFormat="false" ht="6" hidden="false" customHeight="true" outlineLevel="0" collapsed="false"/>
    <row r="28" customFormat="false" ht="16.5" hidden="false" customHeight="true" outlineLevel="0" collapsed="false">
      <c r="A28" s="48" t="s">
        <v>76</v>
      </c>
      <c r="O28" s="49"/>
      <c r="P28" s="49"/>
    </row>
    <row r="29" customFormat="false" ht="16.5" hidden="false" customHeight="true" outlineLevel="0" collapsed="false">
      <c r="A29" s="11" t="s">
        <v>77</v>
      </c>
      <c r="B29" s="50" t="n">
        <f aca="false">B26*($B$5+B$17)</f>
        <v>22050</v>
      </c>
      <c r="C29" s="50" t="n">
        <f aca="false">C26*($B$5+C$17)</f>
        <v>22950</v>
      </c>
      <c r="D29" s="50" t="n">
        <f aca="false">D26*($B$5+D$17)</f>
        <v>22950</v>
      </c>
      <c r="E29" s="50" t="n">
        <f aca="false">E26*($B$5+E$17)</f>
        <v>22500</v>
      </c>
      <c r="F29" s="50" t="n">
        <f aca="false">F26*($B$5+F$17)</f>
        <v>22950</v>
      </c>
      <c r="G29" s="50" t="n">
        <f aca="false">G26*($B$5+G$17)</f>
        <v>22875</v>
      </c>
      <c r="H29" s="50" t="n">
        <f aca="false">H26*($B$5+H$17)</f>
        <v>22407</v>
      </c>
      <c r="I29" s="50" t="n">
        <f aca="false">I26*($B$5+I$17)</f>
        <v>22417.5</v>
      </c>
      <c r="J29" s="50" t="n">
        <f aca="false">J26*($B$5+J$17)</f>
        <v>22500</v>
      </c>
      <c r="K29" s="50" t="n">
        <f aca="false">K26*($B$5+K$17)</f>
        <v>22725</v>
      </c>
      <c r="L29" s="50" t="n">
        <f aca="false">L26*($B$5+L$17)</f>
        <v>22500</v>
      </c>
      <c r="M29" s="50" t="n">
        <f aca="false">M26*($B$5+M$17)</f>
        <v>22500</v>
      </c>
      <c r="O29" s="50" t="n">
        <f aca="false">SUM(B29:M29)</f>
        <v>271324.5</v>
      </c>
      <c r="P29" s="25" t="n">
        <f aca="false">IF(O26=0,0,O29/O26)</f>
        <v>0.301471666666667</v>
      </c>
    </row>
    <row r="30" customFormat="false" ht="16.5" hidden="false" customHeight="true" outlineLevel="0" collapsed="false">
      <c r="A30" s="16" t="s">
        <v>78</v>
      </c>
      <c r="B30" s="51" t="n">
        <f aca="false">B26*$B$6</f>
        <v>1470</v>
      </c>
      <c r="C30" s="51" t="n">
        <f aca="false">C26*$B$6</f>
        <v>1530</v>
      </c>
      <c r="D30" s="51" t="n">
        <f aca="false">D26*$B$6</f>
        <v>1530</v>
      </c>
      <c r="E30" s="51" t="n">
        <f aca="false">E26*$B$6</f>
        <v>1500</v>
      </c>
      <c r="F30" s="51" t="n">
        <f aca="false">F26*$B$6</f>
        <v>1530</v>
      </c>
      <c r="G30" s="51" t="n">
        <f aca="false">G26*$B$6</f>
        <v>1500</v>
      </c>
      <c r="H30" s="51" t="n">
        <f aca="false">H26*$B$6</f>
        <v>1455</v>
      </c>
      <c r="I30" s="51" t="n">
        <f aca="false">I26*$B$6</f>
        <v>1470</v>
      </c>
      <c r="J30" s="51" t="n">
        <f aca="false">J26*$B$6</f>
        <v>1500</v>
      </c>
      <c r="K30" s="51" t="n">
        <f aca="false">K26*$B$6</f>
        <v>1515</v>
      </c>
      <c r="L30" s="51" t="n">
        <f aca="false">L26*$B$6</f>
        <v>1500</v>
      </c>
      <c r="M30" s="51" t="n">
        <f aca="false">M26*$B$6</f>
        <v>1500</v>
      </c>
      <c r="O30" s="51" t="n">
        <f aca="false">SUM(B30:M30)</f>
        <v>18000</v>
      </c>
      <c r="P30" s="23" t="n">
        <f aca="false">IF(O26=0,0,O30/O26)</f>
        <v>0.02</v>
      </c>
    </row>
    <row r="31" customFormat="false" ht="16.5" hidden="false" customHeight="true" outlineLevel="0" collapsed="false">
      <c r="A31" s="56" t="s">
        <v>8</v>
      </c>
      <c r="B31" s="53" t="n">
        <f aca="false">B29+B30</f>
        <v>23520</v>
      </c>
      <c r="C31" s="53" t="n">
        <f aca="false">C29+C30</f>
        <v>24480</v>
      </c>
      <c r="D31" s="53" t="n">
        <f aca="false">D29+D30</f>
        <v>24480</v>
      </c>
      <c r="E31" s="53" t="n">
        <f aca="false">E29+E30</f>
        <v>24000</v>
      </c>
      <c r="F31" s="53" t="n">
        <f aca="false">F29+F30</f>
        <v>24480</v>
      </c>
      <c r="G31" s="53" t="n">
        <f aca="false">G29+G30</f>
        <v>24375</v>
      </c>
      <c r="H31" s="53" t="n">
        <f aca="false">H29+H30</f>
        <v>23862</v>
      </c>
      <c r="I31" s="53" t="n">
        <f aca="false">I29+I30</f>
        <v>23887.5</v>
      </c>
      <c r="J31" s="53" t="n">
        <f aca="false">J29+J30</f>
        <v>24000</v>
      </c>
      <c r="K31" s="53" t="n">
        <f aca="false">K29+K30</f>
        <v>24240</v>
      </c>
      <c r="L31" s="53" t="n">
        <f aca="false">L29+L30</f>
        <v>24000</v>
      </c>
      <c r="M31" s="53" t="n">
        <f aca="false">M29+M30</f>
        <v>24000</v>
      </c>
      <c r="O31" s="54" t="n">
        <f aca="false">SUM(B31:M31)</f>
        <v>289324.5</v>
      </c>
      <c r="P31" s="55" t="n">
        <f aca="false">IF(O26=0,0,O31/O26)</f>
        <v>0.321471666666667</v>
      </c>
    </row>
    <row r="32" customFormat="false" ht="6" hidden="false" customHeight="true" outlineLevel="0" collapsed="false"/>
    <row r="33" customFormat="false" ht="16.5" hidden="false" customHeight="true" outlineLevel="0" collapsed="false">
      <c r="A33" s="56" t="s">
        <v>79</v>
      </c>
      <c r="B33" s="53" t="n">
        <f aca="false">B26-B31</f>
        <v>49980</v>
      </c>
      <c r="C33" s="53" t="n">
        <f aca="false">C26-C31</f>
        <v>52020</v>
      </c>
      <c r="D33" s="53" t="n">
        <f aca="false">D26-D31</f>
        <v>52020</v>
      </c>
      <c r="E33" s="53" t="n">
        <f aca="false">E26-E31</f>
        <v>51000</v>
      </c>
      <c r="F33" s="53" t="n">
        <f aca="false">F26-F31</f>
        <v>52020</v>
      </c>
      <c r="G33" s="53" t="n">
        <f aca="false">G26-G31</f>
        <v>50625</v>
      </c>
      <c r="H33" s="53" t="n">
        <f aca="false">H26-H31</f>
        <v>48888</v>
      </c>
      <c r="I33" s="53" t="n">
        <f aca="false">I26-I31</f>
        <v>49612.5</v>
      </c>
      <c r="J33" s="53" t="n">
        <f aca="false">J26-J31</f>
        <v>51000</v>
      </c>
      <c r="K33" s="53" t="n">
        <f aca="false">K26-K31</f>
        <v>51510</v>
      </c>
      <c r="L33" s="53" t="n">
        <f aca="false">L26-L31</f>
        <v>51000</v>
      </c>
      <c r="M33" s="53" t="n">
        <f aca="false">M26-M31</f>
        <v>51000</v>
      </c>
      <c r="O33" s="54" t="n">
        <f aca="false">SUM(B33:M33)</f>
        <v>610675.5</v>
      </c>
      <c r="P33" s="55" t="n">
        <f aca="false">IF(O26=0,0,O33/O26)</f>
        <v>0.678528333333333</v>
      </c>
    </row>
    <row r="34" customFormat="false" ht="16.5" hidden="false" customHeight="true" outlineLevel="0" collapsed="false">
      <c r="A34" s="16" t="s">
        <v>10</v>
      </c>
      <c r="B34" s="23" t="n">
        <f aca="false">IF(B26=0,0,B33/B26)</f>
        <v>0.68</v>
      </c>
      <c r="C34" s="23" t="n">
        <f aca="false">IF(C26=0,0,C33/C26)</f>
        <v>0.68</v>
      </c>
      <c r="D34" s="23" t="n">
        <f aca="false">IF(D26=0,0,D33/D26)</f>
        <v>0.68</v>
      </c>
      <c r="E34" s="23" t="n">
        <f aca="false">IF(E26=0,0,E33/E26)</f>
        <v>0.68</v>
      </c>
      <c r="F34" s="23" t="n">
        <f aca="false">IF(F26=0,0,F33/F26)</f>
        <v>0.68</v>
      </c>
      <c r="G34" s="23" t="n">
        <f aca="false">IF(G26=0,0,G33/G26)</f>
        <v>0.675</v>
      </c>
      <c r="H34" s="23" t="n">
        <f aca="false">IF(H26=0,0,H33/H26)</f>
        <v>0.672</v>
      </c>
      <c r="I34" s="23" t="n">
        <f aca="false">IF(I26=0,0,I33/I26)</f>
        <v>0.675</v>
      </c>
      <c r="J34" s="23" t="n">
        <f aca="false">IF(J26=0,0,J33/J26)</f>
        <v>0.68</v>
      </c>
      <c r="K34" s="23" t="n">
        <f aca="false">IF(K26=0,0,K33/K26)</f>
        <v>0.68</v>
      </c>
      <c r="L34" s="23" t="n">
        <f aca="false">IF(L26=0,0,L33/L26)</f>
        <v>0.68</v>
      </c>
      <c r="M34" s="23" t="n">
        <f aca="false">IF(M26=0,0,M33/M26)</f>
        <v>0.68</v>
      </c>
      <c r="O34" s="23" t="n">
        <f aca="false">IF(O26=0,0,O33/O26)</f>
        <v>0.678528333333333</v>
      </c>
      <c r="P34" s="23" t="n">
        <f aca="false">IF(O26=0,0,O33/O26)</f>
        <v>0.678528333333333</v>
      </c>
    </row>
    <row r="35" customFormat="false" ht="6" hidden="false" customHeight="true" outlineLevel="0" collapsed="false"/>
    <row r="36" customFormat="false" ht="16.5" hidden="false" customHeight="true" outlineLevel="0" collapsed="false">
      <c r="A36" s="48" t="s">
        <v>80</v>
      </c>
      <c r="O36" s="49"/>
      <c r="P36" s="49"/>
    </row>
    <row r="37" customFormat="false" ht="16.5" hidden="false" customHeight="true" outlineLevel="0" collapsed="false">
      <c r="A37" s="11" t="s">
        <v>81</v>
      </c>
      <c r="B37" s="50" t="n">
        <f aca="false">B26*$B$7</f>
        <v>14700</v>
      </c>
      <c r="C37" s="50" t="n">
        <f aca="false">C26*$B$7</f>
        <v>15300</v>
      </c>
      <c r="D37" s="50" t="n">
        <f aca="false">D26*$B$7</f>
        <v>15300</v>
      </c>
      <c r="E37" s="50" t="n">
        <f aca="false">E26*$B$7</f>
        <v>15000</v>
      </c>
      <c r="F37" s="50" t="n">
        <f aca="false">F26*$B$7</f>
        <v>15300</v>
      </c>
      <c r="G37" s="50" t="n">
        <f aca="false">G26*$B$7</f>
        <v>15000</v>
      </c>
      <c r="H37" s="50" t="n">
        <f aca="false">H26*$B$7</f>
        <v>14550</v>
      </c>
      <c r="I37" s="50" t="n">
        <f aca="false">I26*$B$7</f>
        <v>14700</v>
      </c>
      <c r="J37" s="50" t="n">
        <f aca="false">J26*$B$7</f>
        <v>15000</v>
      </c>
      <c r="K37" s="50" t="n">
        <f aca="false">K26*$B$7</f>
        <v>15150</v>
      </c>
      <c r="L37" s="50" t="n">
        <f aca="false">L26*$B$7</f>
        <v>15000</v>
      </c>
      <c r="M37" s="50" t="n">
        <f aca="false">M26*$B$7</f>
        <v>15000</v>
      </c>
      <c r="O37" s="50" t="n">
        <f aca="false">SUM(B37:M37)</f>
        <v>180000</v>
      </c>
      <c r="P37" s="25" t="n">
        <f aca="false">IF(O26=0,0,O37/O26)</f>
        <v>0.2</v>
      </c>
    </row>
    <row r="38" customFormat="false" ht="16.5" hidden="false" customHeight="true" outlineLevel="0" collapsed="false">
      <c r="A38" s="16" t="s">
        <v>82</v>
      </c>
      <c r="B38" s="17" t="n">
        <f aca="false">$B$8</f>
        <v>4200</v>
      </c>
      <c r="C38" s="17" t="n">
        <f aca="false">$B$8</f>
        <v>4200</v>
      </c>
      <c r="D38" s="17" t="n">
        <f aca="false">$B$8</f>
        <v>4200</v>
      </c>
      <c r="E38" s="17" t="n">
        <f aca="false">$B$8</f>
        <v>4200</v>
      </c>
      <c r="F38" s="17" t="n">
        <f aca="false">$B$8</f>
        <v>4200</v>
      </c>
      <c r="G38" s="17" t="n">
        <f aca="false">$B$8</f>
        <v>4200</v>
      </c>
      <c r="H38" s="17" t="n">
        <f aca="false">$B$8</f>
        <v>4200</v>
      </c>
      <c r="I38" s="17" t="n">
        <f aca="false">$B$8</f>
        <v>4200</v>
      </c>
      <c r="J38" s="17" t="n">
        <f aca="false">$B$8</f>
        <v>4200</v>
      </c>
      <c r="K38" s="17" t="n">
        <f aca="false">$B$8</f>
        <v>4200</v>
      </c>
      <c r="L38" s="17" t="n">
        <f aca="false">$B$8</f>
        <v>4200</v>
      </c>
      <c r="M38" s="17" t="n">
        <f aca="false">$B$8</f>
        <v>4200</v>
      </c>
      <c r="O38" s="51" t="n">
        <f aca="false">SUM(B38:M38)</f>
        <v>50400</v>
      </c>
      <c r="P38" s="23" t="n">
        <f aca="false">IF(O26=0,0,O38/O26)</f>
        <v>0.056</v>
      </c>
    </row>
    <row r="39" customFormat="false" ht="16.5" hidden="false" customHeight="true" outlineLevel="0" collapsed="false">
      <c r="A39" s="11" t="s">
        <v>83</v>
      </c>
      <c r="B39" s="12" t="n">
        <f aca="false">$B$9</f>
        <v>7800</v>
      </c>
      <c r="C39" s="12" t="n">
        <f aca="false">$B$9</f>
        <v>7800</v>
      </c>
      <c r="D39" s="12" t="n">
        <f aca="false">$B$9</f>
        <v>7800</v>
      </c>
      <c r="E39" s="12" t="n">
        <f aca="false">$B$9</f>
        <v>7800</v>
      </c>
      <c r="F39" s="12" t="n">
        <f aca="false">$B$9</f>
        <v>7800</v>
      </c>
      <c r="G39" s="12" t="n">
        <f aca="false">$B$9</f>
        <v>7800</v>
      </c>
      <c r="H39" s="12" t="n">
        <f aca="false">$B$9</f>
        <v>7800</v>
      </c>
      <c r="I39" s="12" t="n">
        <f aca="false">$B$9</f>
        <v>7800</v>
      </c>
      <c r="J39" s="12" t="n">
        <f aca="false">$B$9</f>
        <v>7800</v>
      </c>
      <c r="K39" s="12" t="n">
        <f aca="false">$B$9</f>
        <v>7800</v>
      </c>
      <c r="L39" s="12" t="n">
        <f aca="false">$B$9</f>
        <v>7800</v>
      </c>
      <c r="M39" s="12" t="n">
        <f aca="false">$B$9</f>
        <v>7800</v>
      </c>
      <c r="O39" s="50" t="n">
        <f aca="false">SUM(B39:M39)</f>
        <v>93600</v>
      </c>
      <c r="P39" s="25" t="n">
        <f aca="false">IF(O26=0,0,O39/O26)</f>
        <v>0.104</v>
      </c>
    </row>
    <row r="40" customFormat="false" ht="16.5" hidden="false" customHeight="true" outlineLevel="0" collapsed="false">
      <c r="A40" s="16" t="s">
        <v>84</v>
      </c>
      <c r="B40" s="51" t="n">
        <f aca="false">$B$10*B$18</f>
        <v>1610</v>
      </c>
      <c r="C40" s="51" t="n">
        <f aca="false">$B$10*C$18</f>
        <v>1610</v>
      </c>
      <c r="D40" s="51" t="n">
        <f aca="false">$B$10*D$18</f>
        <v>1400</v>
      </c>
      <c r="E40" s="51" t="n">
        <f aca="false">$B$10*E$18</f>
        <v>1260</v>
      </c>
      <c r="F40" s="51" t="n">
        <f aca="false">$B$10*F$18</f>
        <v>1330</v>
      </c>
      <c r="G40" s="51" t="n">
        <f aca="false">$B$10*G$18</f>
        <v>1470</v>
      </c>
      <c r="H40" s="51" t="n">
        <f aca="false">$B$10*H$18</f>
        <v>1652</v>
      </c>
      <c r="I40" s="51" t="n">
        <f aca="false">$B$10*I$18</f>
        <v>1652</v>
      </c>
      <c r="J40" s="51" t="n">
        <f aca="false">$B$10*J$18</f>
        <v>1330</v>
      </c>
      <c r="K40" s="51" t="n">
        <f aca="false">$B$10*K$18</f>
        <v>1260</v>
      </c>
      <c r="L40" s="51" t="n">
        <f aca="false">$B$10*L$18</f>
        <v>1400</v>
      </c>
      <c r="M40" s="51" t="n">
        <f aca="false">$B$10*M$18</f>
        <v>1540</v>
      </c>
      <c r="O40" s="51" t="n">
        <f aca="false">SUM(B40:M40)</f>
        <v>17514</v>
      </c>
      <c r="P40" s="23" t="n">
        <f aca="false">IF(O26=0,0,O40/O26)</f>
        <v>0.01946</v>
      </c>
    </row>
    <row r="41" customFormat="false" ht="16.5" hidden="false" customHeight="true" outlineLevel="0" collapsed="false">
      <c r="A41" s="11" t="s">
        <v>85</v>
      </c>
      <c r="B41" s="50" t="n">
        <f aca="false">B26*$B$11</f>
        <v>2205</v>
      </c>
      <c r="C41" s="50" t="n">
        <f aca="false">C26*$B$11</f>
        <v>2295</v>
      </c>
      <c r="D41" s="50" t="n">
        <f aca="false">D26*$B$11</f>
        <v>2295</v>
      </c>
      <c r="E41" s="50" t="n">
        <f aca="false">E26*$B$11</f>
        <v>2250</v>
      </c>
      <c r="F41" s="50" t="n">
        <f aca="false">F26*$B$11</f>
        <v>2295</v>
      </c>
      <c r="G41" s="50" t="n">
        <f aca="false">G26*$B$11</f>
        <v>2250</v>
      </c>
      <c r="H41" s="50" t="n">
        <f aca="false">H26*$B$11</f>
        <v>2182.5</v>
      </c>
      <c r="I41" s="50" t="n">
        <f aca="false">I26*$B$11</f>
        <v>2205</v>
      </c>
      <c r="J41" s="50" t="n">
        <f aca="false">J26*$B$11</f>
        <v>2250</v>
      </c>
      <c r="K41" s="50" t="n">
        <f aca="false">K26*$B$11</f>
        <v>2272.5</v>
      </c>
      <c r="L41" s="50" t="n">
        <f aca="false">L26*$B$11</f>
        <v>2250</v>
      </c>
      <c r="M41" s="50" t="n">
        <f aca="false">M26*$B$11</f>
        <v>2250</v>
      </c>
      <c r="O41" s="50" t="n">
        <f aca="false">SUM(B41:M41)</f>
        <v>27000</v>
      </c>
      <c r="P41" s="25" t="n">
        <f aca="false">IF(O26=0,0,O41/O26)</f>
        <v>0.03</v>
      </c>
    </row>
    <row r="42" customFormat="false" ht="16.5" hidden="false" customHeight="true" outlineLevel="0" collapsed="false">
      <c r="A42" s="16" t="s">
        <v>86</v>
      </c>
      <c r="B42" s="17" t="n">
        <f aca="false">$B$12</f>
        <v>550</v>
      </c>
      <c r="C42" s="17" t="n">
        <f aca="false">$B$12</f>
        <v>550</v>
      </c>
      <c r="D42" s="17" t="n">
        <f aca="false">$B$12</f>
        <v>550</v>
      </c>
      <c r="E42" s="17" t="n">
        <f aca="false">$B$12</f>
        <v>550</v>
      </c>
      <c r="F42" s="17" t="n">
        <f aca="false">$B$12</f>
        <v>550</v>
      </c>
      <c r="G42" s="17" t="n">
        <f aca="false">$B$12</f>
        <v>550</v>
      </c>
      <c r="H42" s="17" t="n">
        <f aca="false">$B$12</f>
        <v>550</v>
      </c>
      <c r="I42" s="17" t="n">
        <f aca="false">$B$12</f>
        <v>550</v>
      </c>
      <c r="J42" s="17" t="n">
        <f aca="false">$B$12</f>
        <v>550</v>
      </c>
      <c r="K42" s="17" t="n">
        <f aca="false">$B$12</f>
        <v>550</v>
      </c>
      <c r="L42" s="17" t="n">
        <f aca="false">$B$12</f>
        <v>550</v>
      </c>
      <c r="M42" s="17" t="n">
        <f aca="false">$B$12</f>
        <v>550</v>
      </c>
      <c r="O42" s="51" t="n">
        <f aca="false">SUM(B42:M42)</f>
        <v>6600</v>
      </c>
      <c r="P42" s="23" t="n">
        <f aca="false">IF(O26=0,0,O42/O26)</f>
        <v>0.00733333333333333</v>
      </c>
    </row>
    <row r="43" customFormat="false" ht="16.5" hidden="false" customHeight="true" outlineLevel="0" collapsed="false">
      <c r="A43" s="56" t="s">
        <v>11</v>
      </c>
      <c r="B43" s="53" t="n">
        <f aca="false">B37+B38+B39+B40+B41+B42</f>
        <v>31065</v>
      </c>
      <c r="C43" s="53" t="n">
        <f aca="false">C37+C38+C39+C40+C41+C42</f>
        <v>31755</v>
      </c>
      <c r="D43" s="53" t="n">
        <f aca="false">D37+D38+D39+D40+D41+D42</f>
        <v>31545</v>
      </c>
      <c r="E43" s="53" t="n">
        <f aca="false">E37+E38+E39+E40+E41+E42</f>
        <v>31060</v>
      </c>
      <c r="F43" s="53" t="n">
        <f aca="false">F37+F38+F39+F40+F41+F42</f>
        <v>31475</v>
      </c>
      <c r="G43" s="53" t="n">
        <f aca="false">G37+G38+G39+G40+G41+G42</f>
        <v>31270</v>
      </c>
      <c r="H43" s="53" t="n">
        <f aca="false">H37+H38+H39+H40+H41+H42</f>
        <v>30934.5</v>
      </c>
      <c r="I43" s="53" t="n">
        <f aca="false">I37+I38+I39+I40+I41+I42</f>
        <v>31107</v>
      </c>
      <c r="J43" s="53" t="n">
        <f aca="false">J37+J38+J39+J40+J41+J42</f>
        <v>31130</v>
      </c>
      <c r="K43" s="53" t="n">
        <f aca="false">K37+K38+K39+K40+K41+K42</f>
        <v>31232.5</v>
      </c>
      <c r="L43" s="53" t="n">
        <f aca="false">L37+L38+L39+L40+L41+L42</f>
        <v>31200</v>
      </c>
      <c r="M43" s="53" t="n">
        <f aca="false">M37+M38+M39+M40+M41+M42</f>
        <v>31340</v>
      </c>
      <c r="O43" s="54" t="n">
        <f aca="false">SUM(B43:M43)</f>
        <v>375114</v>
      </c>
      <c r="P43" s="55" t="n">
        <f aca="false">IF(O26=0,0,O43/O26)</f>
        <v>0.416793333333333</v>
      </c>
    </row>
    <row r="44" customFormat="false" ht="6" hidden="false" customHeight="true" outlineLevel="0" collapsed="false"/>
    <row r="45" customFormat="false" ht="16.5" hidden="false" customHeight="true" outlineLevel="0" collapsed="false">
      <c r="A45" s="56" t="s">
        <v>87</v>
      </c>
      <c r="B45" s="53" t="n">
        <f aca="false">B33-B43</f>
        <v>18915</v>
      </c>
      <c r="C45" s="53" t="n">
        <f aca="false">C33-C43</f>
        <v>20265</v>
      </c>
      <c r="D45" s="53" t="n">
        <f aca="false">D33-D43</f>
        <v>20475</v>
      </c>
      <c r="E45" s="53" t="n">
        <f aca="false">E33-E43</f>
        <v>19940</v>
      </c>
      <c r="F45" s="53" t="n">
        <f aca="false">F33-F43</f>
        <v>20545</v>
      </c>
      <c r="G45" s="53" t="n">
        <f aca="false">G33-G43</f>
        <v>19355</v>
      </c>
      <c r="H45" s="53" t="n">
        <f aca="false">H33-H43</f>
        <v>17953.5</v>
      </c>
      <c r="I45" s="53" t="n">
        <f aca="false">I33-I43</f>
        <v>18505.5</v>
      </c>
      <c r="J45" s="53" t="n">
        <f aca="false">J33-J43</f>
        <v>19870</v>
      </c>
      <c r="K45" s="53" t="n">
        <f aca="false">K33-K43</f>
        <v>20277.5</v>
      </c>
      <c r="L45" s="53" t="n">
        <f aca="false">L33-L43</f>
        <v>19800</v>
      </c>
      <c r="M45" s="53" t="n">
        <f aca="false">M33-M43</f>
        <v>19660</v>
      </c>
      <c r="O45" s="54" t="n">
        <f aca="false">SUM(B45:M45)</f>
        <v>235561.5</v>
      </c>
      <c r="P45" s="55" t="n">
        <f aca="false">IF(O26=0,0,O45/O26)</f>
        <v>0.261735</v>
      </c>
    </row>
    <row r="46" customFormat="false" ht="16.5" hidden="false" customHeight="true" outlineLevel="0" collapsed="false">
      <c r="A46" s="16" t="s">
        <v>88</v>
      </c>
      <c r="B46" s="23" t="n">
        <f aca="false">IF(B26=0,0,B45/B26)</f>
        <v>0.25734693877551</v>
      </c>
      <c r="C46" s="23" t="n">
        <f aca="false">IF(C26=0,0,C45/C26)</f>
        <v>0.264901960784314</v>
      </c>
      <c r="D46" s="23" t="n">
        <f aca="false">IF(D26=0,0,D45/D26)</f>
        <v>0.267647058823529</v>
      </c>
      <c r="E46" s="23" t="n">
        <f aca="false">IF(E26=0,0,E45/E26)</f>
        <v>0.265866666666667</v>
      </c>
      <c r="F46" s="23" t="n">
        <f aca="false">IF(F26=0,0,F45/F26)</f>
        <v>0.268562091503268</v>
      </c>
      <c r="G46" s="23" t="n">
        <f aca="false">IF(G26=0,0,G45/G26)</f>
        <v>0.258066666666667</v>
      </c>
      <c r="H46" s="23" t="n">
        <f aca="false">IF(H26=0,0,H45/H26)</f>
        <v>0.246783505154639</v>
      </c>
      <c r="I46" s="23" t="n">
        <f aca="false">IF(I26=0,0,I45/I26)</f>
        <v>0.251775510204082</v>
      </c>
      <c r="J46" s="23" t="n">
        <f aca="false">IF(J26=0,0,J45/J26)</f>
        <v>0.264933333333333</v>
      </c>
      <c r="K46" s="23" t="n">
        <f aca="false">IF(K26=0,0,K45/K26)</f>
        <v>0.267689768976898</v>
      </c>
      <c r="L46" s="23" t="n">
        <f aca="false">IF(L26=0,0,L45/L26)</f>
        <v>0.264</v>
      </c>
      <c r="M46" s="23" t="n">
        <f aca="false">IF(M26=0,0,M45/M26)</f>
        <v>0.262133333333333</v>
      </c>
      <c r="O46" s="23" t="n">
        <f aca="false">IF(O26=0,0,O45/O26)</f>
        <v>0.261735</v>
      </c>
      <c r="P46" s="23" t="n">
        <f aca="false">IF(O26=0,0,O45/O26)</f>
        <v>0.261735</v>
      </c>
    </row>
  </sheetData>
  <mergeCells count="5">
    <mergeCell ref="A1:P1"/>
    <mergeCell ref="A2:P2"/>
    <mergeCell ref="A3:P3"/>
    <mergeCell ref="A14:P14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14" min="2" style="0" width="10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27.75" hidden="false" customHeight="true" outlineLevel="0" collapsed="false">
      <c r="A1" s="57" t="s">
        <v>96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customFormat="false" ht="1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19" t="s">
        <v>36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customFormat="false" ht="16.5" hidden="false" customHeight="true" outlineLevel="0" collapsed="false">
      <c r="A4" s="16" t="s">
        <v>37</v>
      </c>
      <c r="B4" s="34" t="n">
        <v>72000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customFormat="false" ht="16.5" hidden="false" customHeight="true" outlineLevel="0" collapsed="false">
      <c r="A5" s="11" t="s">
        <v>38</v>
      </c>
      <c r="B5" s="36" t="n">
        <v>0.3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customFormat="false" ht="16.5" hidden="false" customHeight="true" outlineLevel="0" collapsed="false">
      <c r="A6" s="16" t="s">
        <v>39</v>
      </c>
      <c r="B6" s="36" t="n">
        <v>0.02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customFormat="false" ht="16.5" hidden="false" customHeight="true" outlineLevel="0" collapsed="false">
      <c r="A7" s="11" t="s">
        <v>40</v>
      </c>
      <c r="B7" s="36" t="n">
        <v>0.2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customFormat="false" ht="16.5" hidden="false" customHeight="true" outlineLevel="0" collapsed="false">
      <c r="A8" s="16" t="s">
        <v>41</v>
      </c>
      <c r="B8" s="34" t="n">
        <v>4200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customFormat="false" ht="16.5" hidden="false" customHeight="true" outlineLevel="0" collapsed="false">
      <c r="A9" s="11" t="s">
        <v>42</v>
      </c>
      <c r="B9" s="34" t="n">
        <v>7500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customFormat="false" ht="16.5" hidden="false" customHeight="true" outlineLevel="0" collapsed="false">
      <c r="A10" s="16" t="s">
        <v>43</v>
      </c>
      <c r="B10" s="34" t="n">
        <v>1400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customFormat="false" ht="16.5" hidden="false" customHeight="true" outlineLevel="0" collapsed="false">
      <c r="A11" s="11" t="s">
        <v>44</v>
      </c>
      <c r="B11" s="36" t="n">
        <v>0.03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customFormat="false" ht="16.5" hidden="false" customHeight="true" outlineLevel="0" collapsed="false">
      <c r="A12" s="16" t="s">
        <v>45</v>
      </c>
      <c r="B12" s="34" t="n">
        <v>550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customFormat="false" ht="7.5" hidden="false" customHeight="true" outlineLevel="0" collapsed="false"/>
    <row r="14" customFormat="false" ht="18" hidden="false" customHeight="true" outlineLevel="0" collapsed="false">
      <c r="A14" s="19" t="s">
        <v>46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customFormat="false" ht="15.75" hidden="false" customHeight="true" outlineLevel="0" collapsed="false">
      <c r="A15" s="38"/>
      <c r="B15" s="39" t="s">
        <v>47</v>
      </c>
      <c r="C15" s="39" t="s">
        <v>48</v>
      </c>
      <c r="D15" s="39" t="s">
        <v>49</v>
      </c>
      <c r="E15" s="39" t="s">
        <v>50</v>
      </c>
      <c r="F15" s="39" t="s">
        <v>51</v>
      </c>
      <c r="G15" s="39" t="s">
        <v>52</v>
      </c>
      <c r="H15" s="39" t="s">
        <v>53</v>
      </c>
      <c r="I15" s="39" t="s">
        <v>54</v>
      </c>
      <c r="J15" s="39" t="s">
        <v>55</v>
      </c>
      <c r="K15" s="39" t="s">
        <v>56</v>
      </c>
      <c r="L15" s="39" t="s">
        <v>57</v>
      </c>
      <c r="M15" s="39" t="s">
        <v>58</v>
      </c>
      <c r="O15" s="40" t="s">
        <v>59</v>
      </c>
      <c r="P15" s="40" t="s">
        <v>60</v>
      </c>
    </row>
    <row r="16" customFormat="false" ht="16.5" hidden="false" customHeight="true" outlineLevel="0" collapsed="false">
      <c r="A16" s="16" t="s">
        <v>61</v>
      </c>
      <c r="B16" s="41" t="n">
        <v>0.98</v>
      </c>
      <c r="C16" s="41" t="n">
        <v>1.02</v>
      </c>
      <c r="D16" s="41" t="n">
        <v>1.02</v>
      </c>
      <c r="E16" s="41" t="n">
        <v>1</v>
      </c>
      <c r="F16" s="41" t="n">
        <v>1.02</v>
      </c>
      <c r="G16" s="41" t="n">
        <v>1</v>
      </c>
      <c r="H16" s="41" t="n">
        <v>0.97</v>
      </c>
      <c r="I16" s="41" t="n">
        <v>0.98</v>
      </c>
      <c r="J16" s="41" t="n">
        <v>1</v>
      </c>
      <c r="K16" s="41" t="n">
        <v>1.01</v>
      </c>
      <c r="L16" s="41" t="n">
        <v>1</v>
      </c>
      <c r="M16" s="41" t="n">
        <v>1</v>
      </c>
      <c r="O16" s="42" t="n">
        <f aca="false">AVERAGE(B16:M16)</f>
        <v>1</v>
      </c>
      <c r="P16" s="43" t="s">
        <v>62</v>
      </c>
    </row>
    <row r="17" customFormat="false" ht="16.5" hidden="false" customHeight="true" outlineLevel="0" collapsed="false">
      <c r="A17" s="44" t="s">
        <v>63</v>
      </c>
      <c r="B17" s="45" t="n">
        <v>0</v>
      </c>
      <c r="C17" s="45" t="n">
        <v>0</v>
      </c>
      <c r="D17" s="45" t="n">
        <v>0</v>
      </c>
      <c r="E17" s="45" t="n">
        <v>0</v>
      </c>
      <c r="F17" s="45" t="n">
        <v>0</v>
      </c>
      <c r="G17" s="45" t="n">
        <v>0.005</v>
      </c>
      <c r="H17" s="45" t="n">
        <v>0.008</v>
      </c>
      <c r="I17" s="45" t="n">
        <v>0.005</v>
      </c>
      <c r="J17" s="45" t="n">
        <v>0</v>
      </c>
      <c r="K17" s="45" t="n">
        <v>0</v>
      </c>
      <c r="L17" s="45" t="n">
        <v>0</v>
      </c>
      <c r="M17" s="45" t="n">
        <v>0</v>
      </c>
      <c r="O17" s="46" t="n">
        <f aca="false">AVERAGE(B17:M17)</f>
        <v>0.0015</v>
      </c>
      <c r="P17" s="47" t="s">
        <v>64</v>
      </c>
    </row>
    <row r="18" customFormat="false" ht="16.5" hidden="false" customHeight="true" outlineLevel="0" collapsed="false">
      <c r="A18" s="16" t="s">
        <v>65</v>
      </c>
      <c r="B18" s="41" t="n">
        <v>1.15</v>
      </c>
      <c r="C18" s="41" t="n">
        <v>1.15</v>
      </c>
      <c r="D18" s="41" t="n">
        <v>1</v>
      </c>
      <c r="E18" s="41" t="n">
        <v>0.9</v>
      </c>
      <c r="F18" s="41" t="n">
        <v>0.95</v>
      </c>
      <c r="G18" s="41" t="n">
        <v>1.05</v>
      </c>
      <c r="H18" s="41" t="n">
        <v>1.18</v>
      </c>
      <c r="I18" s="41" t="n">
        <v>1.18</v>
      </c>
      <c r="J18" s="41" t="n">
        <v>0.95</v>
      </c>
      <c r="K18" s="41" t="n">
        <v>0.9</v>
      </c>
      <c r="L18" s="41" t="n">
        <v>1</v>
      </c>
      <c r="M18" s="41" t="n">
        <v>1.1</v>
      </c>
      <c r="O18" s="42" t="n">
        <f aca="false">AVERAGE(B18:M18)</f>
        <v>1.0425</v>
      </c>
      <c r="P18" s="43" t="s">
        <v>66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19" t="s">
        <v>67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customFormat="false" ht="18" hidden="false" customHeight="true" outlineLevel="0" collapsed="false">
      <c r="A21" s="20" t="s">
        <v>68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52</v>
      </c>
      <c r="H21" s="21" t="s">
        <v>53</v>
      </c>
      <c r="I21" s="21" t="s">
        <v>54</v>
      </c>
      <c r="J21" s="21" t="s">
        <v>55</v>
      </c>
      <c r="K21" s="21" t="s">
        <v>56</v>
      </c>
      <c r="L21" s="21" t="s">
        <v>57</v>
      </c>
      <c r="M21" s="21" t="s">
        <v>58</v>
      </c>
      <c r="N21" s="7" t="s">
        <v>69</v>
      </c>
      <c r="O21" s="7" t="s">
        <v>70</v>
      </c>
    </row>
    <row r="22" customFormat="false" ht="16.5" hidden="false" customHeight="true" outlineLevel="0" collapsed="false">
      <c r="A22" s="48" t="s">
        <v>71</v>
      </c>
      <c r="O22" s="49"/>
      <c r="P22" s="49"/>
    </row>
    <row r="23" customFormat="false" ht="16.5" hidden="false" customHeight="true" outlineLevel="0" collapsed="false">
      <c r="A23" s="11" t="s">
        <v>93</v>
      </c>
      <c r="B23" s="50" t="n">
        <f aca="false">$B$4*B$16*0.7</f>
        <v>49392</v>
      </c>
      <c r="C23" s="50" t="n">
        <f aca="false">$B$4*C$16*0.7</f>
        <v>51408</v>
      </c>
      <c r="D23" s="50" t="n">
        <f aca="false">$B$4*D$16*0.7</f>
        <v>51408</v>
      </c>
      <c r="E23" s="50" t="n">
        <f aca="false">$B$4*E$16*0.7</f>
        <v>50400</v>
      </c>
      <c r="F23" s="50" t="n">
        <f aca="false">$B$4*F$16*0.7</f>
        <v>51408</v>
      </c>
      <c r="G23" s="50" t="n">
        <f aca="false">$B$4*G$16*0.7</f>
        <v>50400</v>
      </c>
      <c r="H23" s="50" t="n">
        <f aca="false">$B$4*H$16*0.7</f>
        <v>48888</v>
      </c>
      <c r="I23" s="50" t="n">
        <f aca="false">$B$4*I$16*0.7</f>
        <v>49392</v>
      </c>
      <c r="J23" s="50" t="n">
        <f aca="false">$B$4*J$16*0.7</f>
        <v>50400</v>
      </c>
      <c r="K23" s="50" t="n">
        <f aca="false">$B$4*K$16*0.7</f>
        <v>50904</v>
      </c>
      <c r="L23" s="50" t="n">
        <f aca="false">$B$4*L$16*0.7</f>
        <v>50400</v>
      </c>
      <c r="M23" s="50" t="n">
        <f aca="false">$B$4*M$16*0.7</f>
        <v>50400</v>
      </c>
      <c r="O23" s="50" t="n">
        <f aca="false">SUM(B23:M23)</f>
        <v>604800</v>
      </c>
      <c r="P23" s="25" t="n">
        <f aca="false">IF(O26=0,0,O23/O26)</f>
        <v>0.7</v>
      </c>
    </row>
    <row r="24" customFormat="false" ht="16.5" hidden="false" customHeight="true" outlineLevel="0" collapsed="false">
      <c r="A24" s="16" t="s">
        <v>94</v>
      </c>
      <c r="B24" s="51" t="n">
        <f aca="false">$B$4*B$16*0.25</f>
        <v>17640</v>
      </c>
      <c r="C24" s="51" t="n">
        <f aca="false">$B$4*C$16*0.25</f>
        <v>18360</v>
      </c>
      <c r="D24" s="51" t="n">
        <f aca="false">$B$4*D$16*0.25</f>
        <v>18360</v>
      </c>
      <c r="E24" s="51" t="n">
        <f aca="false">$B$4*E$16*0.25</f>
        <v>18000</v>
      </c>
      <c r="F24" s="51" t="n">
        <f aca="false">$B$4*F$16*0.25</f>
        <v>18360</v>
      </c>
      <c r="G24" s="51" t="n">
        <f aca="false">$B$4*G$16*0.25</f>
        <v>18000</v>
      </c>
      <c r="H24" s="51" t="n">
        <f aca="false">$B$4*H$16*0.25</f>
        <v>17460</v>
      </c>
      <c r="I24" s="51" t="n">
        <f aca="false">$B$4*I$16*0.25</f>
        <v>17640</v>
      </c>
      <c r="J24" s="51" t="n">
        <f aca="false">$B$4*J$16*0.25</f>
        <v>18000</v>
      </c>
      <c r="K24" s="51" t="n">
        <f aca="false">$B$4*K$16*0.25</f>
        <v>18180</v>
      </c>
      <c r="L24" s="51" t="n">
        <f aca="false">$B$4*L$16*0.25</f>
        <v>18000</v>
      </c>
      <c r="M24" s="51" t="n">
        <f aca="false">$B$4*M$16*0.25</f>
        <v>18000</v>
      </c>
      <c r="O24" s="51" t="n">
        <f aca="false">SUM(B24:M24)</f>
        <v>216000</v>
      </c>
      <c r="P24" s="23" t="n">
        <f aca="false">IF(O26=0,0,O24/O26)</f>
        <v>0.25</v>
      </c>
    </row>
    <row r="25" customFormat="false" ht="16.5" hidden="false" customHeight="true" outlineLevel="0" collapsed="false">
      <c r="A25" s="11" t="s">
        <v>95</v>
      </c>
      <c r="B25" s="50" t="n">
        <f aca="false">$B$4*B$16*0.05</f>
        <v>3528</v>
      </c>
      <c r="C25" s="50" t="n">
        <f aca="false">$B$4*C$16*0.05</f>
        <v>3672</v>
      </c>
      <c r="D25" s="50" t="n">
        <f aca="false">$B$4*D$16*0.05</f>
        <v>3672</v>
      </c>
      <c r="E25" s="50" t="n">
        <f aca="false">$B$4*E$16*0.05</f>
        <v>3600</v>
      </c>
      <c r="F25" s="50" t="n">
        <f aca="false">$B$4*F$16*0.05</f>
        <v>3672</v>
      </c>
      <c r="G25" s="50" t="n">
        <f aca="false">$B$4*G$16*0.05</f>
        <v>3600</v>
      </c>
      <c r="H25" s="50" t="n">
        <f aca="false">$B$4*H$16*0.05</f>
        <v>3492</v>
      </c>
      <c r="I25" s="50" t="n">
        <f aca="false">$B$4*I$16*0.05</f>
        <v>3528</v>
      </c>
      <c r="J25" s="50" t="n">
        <f aca="false">$B$4*J$16*0.05</f>
        <v>3600</v>
      </c>
      <c r="K25" s="50" t="n">
        <f aca="false">$B$4*K$16*0.05</f>
        <v>3636</v>
      </c>
      <c r="L25" s="50" t="n">
        <f aca="false">$B$4*L$16*0.05</f>
        <v>3600</v>
      </c>
      <c r="M25" s="50" t="n">
        <f aca="false">$B$4*M$16*0.05</f>
        <v>3600</v>
      </c>
      <c r="O25" s="50" t="n">
        <f aca="false">SUM(B25:M25)</f>
        <v>43200</v>
      </c>
      <c r="P25" s="25" t="n">
        <f aca="false">IF(O26=0,0,O25/O26)</f>
        <v>0.05</v>
      </c>
    </row>
    <row r="26" customFormat="false" ht="16.5" hidden="false" customHeight="true" outlineLevel="0" collapsed="false">
      <c r="A26" s="52" t="s">
        <v>75</v>
      </c>
      <c r="B26" s="53" t="n">
        <f aca="false">B23+B24+B25</f>
        <v>70560</v>
      </c>
      <c r="C26" s="53" t="n">
        <f aca="false">C23+C24+C25</f>
        <v>73440</v>
      </c>
      <c r="D26" s="53" t="n">
        <f aca="false">D23+D24+D25</f>
        <v>73440</v>
      </c>
      <c r="E26" s="53" t="n">
        <f aca="false">E23+E24+E25</f>
        <v>72000</v>
      </c>
      <c r="F26" s="53" t="n">
        <f aca="false">F23+F24+F25</f>
        <v>73440</v>
      </c>
      <c r="G26" s="53" t="n">
        <f aca="false">G23+G24+G25</f>
        <v>72000</v>
      </c>
      <c r="H26" s="53" t="n">
        <f aca="false">H23+H24+H25</f>
        <v>69840</v>
      </c>
      <c r="I26" s="53" t="n">
        <f aca="false">I23+I24+I25</f>
        <v>70560</v>
      </c>
      <c r="J26" s="53" t="n">
        <f aca="false">J23+J24+J25</f>
        <v>72000</v>
      </c>
      <c r="K26" s="53" t="n">
        <f aca="false">K23+K24+K25</f>
        <v>72720</v>
      </c>
      <c r="L26" s="53" t="n">
        <f aca="false">L23+L24+L25</f>
        <v>72000</v>
      </c>
      <c r="M26" s="53" t="n">
        <f aca="false">M23+M24+M25</f>
        <v>72000</v>
      </c>
      <c r="O26" s="54" t="n">
        <f aca="false">SUM(B26:M26)</f>
        <v>864000</v>
      </c>
      <c r="P26" s="55" t="n">
        <f aca="false">IF(O26=0,0,O26/O26)</f>
        <v>1</v>
      </c>
    </row>
    <row r="27" customFormat="false" ht="6" hidden="false" customHeight="true" outlineLevel="0" collapsed="false"/>
    <row r="28" customFormat="false" ht="16.5" hidden="false" customHeight="true" outlineLevel="0" collapsed="false">
      <c r="A28" s="48" t="s">
        <v>76</v>
      </c>
      <c r="O28" s="49"/>
      <c r="P28" s="49"/>
    </row>
    <row r="29" customFormat="false" ht="16.5" hidden="false" customHeight="true" outlineLevel="0" collapsed="false">
      <c r="A29" s="11" t="s">
        <v>77</v>
      </c>
      <c r="B29" s="50" t="n">
        <f aca="false">B26*($B$5+B$17)</f>
        <v>21168</v>
      </c>
      <c r="C29" s="50" t="n">
        <f aca="false">C26*($B$5+C$17)</f>
        <v>22032</v>
      </c>
      <c r="D29" s="50" t="n">
        <f aca="false">D26*($B$5+D$17)</f>
        <v>22032</v>
      </c>
      <c r="E29" s="50" t="n">
        <f aca="false">E26*($B$5+E$17)</f>
        <v>21600</v>
      </c>
      <c r="F29" s="50" t="n">
        <f aca="false">F26*($B$5+F$17)</f>
        <v>22032</v>
      </c>
      <c r="G29" s="50" t="n">
        <f aca="false">G26*($B$5+G$17)</f>
        <v>21960</v>
      </c>
      <c r="H29" s="50" t="n">
        <f aca="false">H26*($B$5+H$17)</f>
        <v>21510.72</v>
      </c>
      <c r="I29" s="50" t="n">
        <f aca="false">I26*($B$5+I$17)</f>
        <v>21520.8</v>
      </c>
      <c r="J29" s="50" t="n">
        <f aca="false">J26*($B$5+J$17)</f>
        <v>21600</v>
      </c>
      <c r="K29" s="50" t="n">
        <f aca="false">K26*($B$5+K$17)</f>
        <v>21816</v>
      </c>
      <c r="L29" s="50" t="n">
        <f aca="false">L26*($B$5+L$17)</f>
        <v>21600</v>
      </c>
      <c r="M29" s="50" t="n">
        <f aca="false">M26*($B$5+M$17)</f>
        <v>21600</v>
      </c>
      <c r="O29" s="50" t="n">
        <f aca="false">SUM(B29:M29)</f>
        <v>260471.52</v>
      </c>
      <c r="P29" s="25" t="n">
        <f aca="false">IF(O26=0,0,O29/O26)</f>
        <v>0.301471666666667</v>
      </c>
    </row>
    <row r="30" customFormat="false" ht="16.5" hidden="false" customHeight="true" outlineLevel="0" collapsed="false">
      <c r="A30" s="16" t="s">
        <v>78</v>
      </c>
      <c r="B30" s="51" t="n">
        <f aca="false">B26*$B$6</f>
        <v>1411.2</v>
      </c>
      <c r="C30" s="51" t="n">
        <f aca="false">C26*$B$6</f>
        <v>1468.8</v>
      </c>
      <c r="D30" s="51" t="n">
        <f aca="false">D26*$B$6</f>
        <v>1468.8</v>
      </c>
      <c r="E30" s="51" t="n">
        <f aca="false">E26*$B$6</f>
        <v>1440</v>
      </c>
      <c r="F30" s="51" t="n">
        <f aca="false">F26*$B$6</f>
        <v>1468.8</v>
      </c>
      <c r="G30" s="51" t="n">
        <f aca="false">G26*$B$6</f>
        <v>1440</v>
      </c>
      <c r="H30" s="51" t="n">
        <f aca="false">H26*$B$6</f>
        <v>1396.8</v>
      </c>
      <c r="I30" s="51" t="n">
        <f aca="false">I26*$B$6</f>
        <v>1411.2</v>
      </c>
      <c r="J30" s="51" t="n">
        <f aca="false">J26*$B$6</f>
        <v>1440</v>
      </c>
      <c r="K30" s="51" t="n">
        <f aca="false">K26*$B$6</f>
        <v>1454.4</v>
      </c>
      <c r="L30" s="51" t="n">
        <f aca="false">L26*$B$6</f>
        <v>1440</v>
      </c>
      <c r="M30" s="51" t="n">
        <f aca="false">M26*$B$6</f>
        <v>1440</v>
      </c>
      <c r="O30" s="51" t="n">
        <f aca="false">SUM(B30:M30)</f>
        <v>17280</v>
      </c>
      <c r="P30" s="23" t="n">
        <f aca="false">IF(O26=0,0,O30/O26)</f>
        <v>0.02</v>
      </c>
    </row>
    <row r="31" customFormat="false" ht="16.5" hidden="false" customHeight="true" outlineLevel="0" collapsed="false">
      <c r="A31" s="56" t="s">
        <v>8</v>
      </c>
      <c r="B31" s="53" t="n">
        <f aca="false">B29+B30</f>
        <v>22579.2</v>
      </c>
      <c r="C31" s="53" t="n">
        <f aca="false">C29+C30</f>
        <v>23500.8</v>
      </c>
      <c r="D31" s="53" t="n">
        <f aca="false">D29+D30</f>
        <v>23500.8</v>
      </c>
      <c r="E31" s="53" t="n">
        <f aca="false">E29+E30</f>
        <v>23040</v>
      </c>
      <c r="F31" s="53" t="n">
        <f aca="false">F29+F30</f>
        <v>23500.8</v>
      </c>
      <c r="G31" s="53" t="n">
        <f aca="false">G29+G30</f>
        <v>23400</v>
      </c>
      <c r="H31" s="53" t="n">
        <f aca="false">H29+H30</f>
        <v>22907.52</v>
      </c>
      <c r="I31" s="53" t="n">
        <f aca="false">I29+I30</f>
        <v>22932</v>
      </c>
      <c r="J31" s="53" t="n">
        <f aca="false">J29+J30</f>
        <v>23040</v>
      </c>
      <c r="K31" s="53" t="n">
        <f aca="false">K29+K30</f>
        <v>23270.4</v>
      </c>
      <c r="L31" s="53" t="n">
        <f aca="false">L29+L30</f>
        <v>23040</v>
      </c>
      <c r="M31" s="53" t="n">
        <f aca="false">M29+M30</f>
        <v>23040</v>
      </c>
      <c r="O31" s="54" t="n">
        <f aca="false">SUM(B31:M31)</f>
        <v>277751.52</v>
      </c>
      <c r="P31" s="55" t="n">
        <f aca="false">IF(O26=0,0,O31/O26)</f>
        <v>0.321471666666667</v>
      </c>
    </row>
    <row r="32" customFormat="false" ht="6" hidden="false" customHeight="true" outlineLevel="0" collapsed="false"/>
    <row r="33" customFormat="false" ht="16.5" hidden="false" customHeight="true" outlineLevel="0" collapsed="false">
      <c r="A33" s="56" t="s">
        <v>79</v>
      </c>
      <c r="B33" s="53" t="n">
        <f aca="false">B26-B31</f>
        <v>47980.8</v>
      </c>
      <c r="C33" s="53" t="n">
        <f aca="false">C26-C31</f>
        <v>49939.2</v>
      </c>
      <c r="D33" s="53" t="n">
        <f aca="false">D26-D31</f>
        <v>49939.2</v>
      </c>
      <c r="E33" s="53" t="n">
        <f aca="false">E26-E31</f>
        <v>48960</v>
      </c>
      <c r="F33" s="53" t="n">
        <f aca="false">F26-F31</f>
        <v>49939.2</v>
      </c>
      <c r="G33" s="53" t="n">
        <f aca="false">G26-G31</f>
        <v>48600</v>
      </c>
      <c r="H33" s="53" t="n">
        <f aca="false">H26-H31</f>
        <v>46932.48</v>
      </c>
      <c r="I33" s="53" t="n">
        <f aca="false">I26-I31</f>
        <v>47628</v>
      </c>
      <c r="J33" s="53" t="n">
        <f aca="false">J26-J31</f>
        <v>48960</v>
      </c>
      <c r="K33" s="53" t="n">
        <f aca="false">K26-K31</f>
        <v>49449.6</v>
      </c>
      <c r="L33" s="53" t="n">
        <f aca="false">L26-L31</f>
        <v>48960</v>
      </c>
      <c r="M33" s="53" t="n">
        <f aca="false">M26-M31</f>
        <v>48960</v>
      </c>
      <c r="O33" s="54" t="n">
        <f aca="false">SUM(B33:M33)</f>
        <v>586248.48</v>
      </c>
      <c r="P33" s="55" t="n">
        <f aca="false">IF(O26=0,0,O33/O26)</f>
        <v>0.678528333333333</v>
      </c>
    </row>
    <row r="34" customFormat="false" ht="16.5" hidden="false" customHeight="true" outlineLevel="0" collapsed="false">
      <c r="A34" s="16" t="s">
        <v>10</v>
      </c>
      <c r="B34" s="23" t="n">
        <f aca="false">IF(B26=0,0,B33/B26)</f>
        <v>0.68</v>
      </c>
      <c r="C34" s="23" t="n">
        <f aca="false">IF(C26=0,0,C33/C26)</f>
        <v>0.68</v>
      </c>
      <c r="D34" s="23" t="n">
        <f aca="false">IF(D26=0,0,D33/D26)</f>
        <v>0.68</v>
      </c>
      <c r="E34" s="23" t="n">
        <f aca="false">IF(E26=0,0,E33/E26)</f>
        <v>0.68</v>
      </c>
      <c r="F34" s="23" t="n">
        <f aca="false">IF(F26=0,0,F33/F26)</f>
        <v>0.68</v>
      </c>
      <c r="G34" s="23" t="n">
        <f aca="false">IF(G26=0,0,G33/G26)</f>
        <v>0.675</v>
      </c>
      <c r="H34" s="23" t="n">
        <f aca="false">IF(H26=0,0,H33/H26)</f>
        <v>0.672</v>
      </c>
      <c r="I34" s="23" t="n">
        <f aca="false">IF(I26=0,0,I33/I26)</f>
        <v>0.675</v>
      </c>
      <c r="J34" s="23" t="n">
        <f aca="false">IF(J26=0,0,J33/J26)</f>
        <v>0.68</v>
      </c>
      <c r="K34" s="23" t="n">
        <f aca="false">IF(K26=0,0,K33/K26)</f>
        <v>0.68</v>
      </c>
      <c r="L34" s="23" t="n">
        <f aca="false">IF(L26=0,0,L33/L26)</f>
        <v>0.68</v>
      </c>
      <c r="M34" s="23" t="n">
        <f aca="false">IF(M26=0,0,M33/M26)</f>
        <v>0.68</v>
      </c>
      <c r="O34" s="23" t="n">
        <f aca="false">IF(O26=0,0,O33/O26)</f>
        <v>0.678528333333333</v>
      </c>
      <c r="P34" s="23" t="n">
        <f aca="false">IF(O26=0,0,O33/O26)</f>
        <v>0.678528333333333</v>
      </c>
    </row>
    <row r="35" customFormat="false" ht="6" hidden="false" customHeight="true" outlineLevel="0" collapsed="false"/>
    <row r="36" customFormat="false" ht="16.5" hidden="false" customHeight="true" outlineLevel="0" collapsed="false">
      <c r="A36" s="48" t="s">
        <v>80</v>
      </c>
      <c r="O36" s="49"/>
      <c r="P36" s="49"/>
    </row>
    <row r="37" customFormat="false" ht="16.5" hidden="false" customHeight="true" outlineLevel="0" collapsed="false">
      <c r="A37" s="11" t="s">
        <v>81</v>
      </c>
      <c r="B37" s="50" t="n">
        <f aca="false">B26*$B$7</f>
        <v>14112</v>
      </c>
      <c r="C37" s="50" t="n">
        <f aca="false">C26*$B$7</f>
        <v>14688</v>
      </c>
      <c r="D37" s="50" t="n">
        <f aca="false">D26*$B$7</f>
        <v>14688</v>
      </c>
      <c r="E37" s="50" t="n">
        <f aca="false">E26*$B$7</f>
        <v>14400</v>
      </c>
      <c r="F37" s="50" t="n">
        <f aca="false">F26*$B$7</f>
        <v>14688</v>
      </c>
      <c r="G37" s="50" t="n">
        <f aca="false">G26*$B$7</f>
        <v>14400</v>
      </c>
      <c r="H37" s="50" t="n">
        <f aca="false">H26*$B$7</f>
        <v>13968</v>
      </c>
      <c r="I37" s="50" t="n">
        <f aca="false">I26*$B$7</f>
        <v>14112</v>
      </c>
      <c r="J37" s="50" t="n">
        <f aca="false">J26*$B$7</f>
        <v>14400</v>
      </c>
      <c r="K37" s="50" t="n">
        <f aca="false">K26*$B$7</f>
        <v>14544</v>
      </c>
      <c r="L37" s="50" t="n">
        <f aca="false">L26*$B$7</f>
        <v>14400</v>
      </c>
      <c r="M37" s="50" t="n">
        <f aca="false">M26*$B$7</f>
        <v>14400</v>
      </c>
      <c r="O37" s="50" t="n">
        <f aca="false">SUM(B37:M37)</f>
        <v>172800</v>
      </c>
      <c r="P37" s="25" t="n">
        <f aca="false">IF(O26=0,0,O37/O26)</f>
        <v>0.2</v>
      </c>
    </row>
    <row r="38" customFormat="false" ht="16.5" hidden="false" customHeight="true" outlineLevel="0" collapsed="false">
      <c r="A38" s="16" t="s">
        <v>82</v>
      </c>
      <c r="B38" s="17" t="n">
        <f aca="false">$B$8</f>
        <v>4200</v>
      </c>
      <c r="C38" s="17" t="n">
        <f aca="false">$B$8</f>
        <v>4200</v>
      </c>
      <c r="D38" s="17" t="n">
        <f aca="false">$B$8</f>
        <v>4200</v>
      </c>
      <c r="E38" s="17" t="n">
        <f aca="false">$B$8</f>
        <v>4200</v>
      </c>
      <c r="F38" s="17" t="n">
        <f aca="false">$B$8</f>
        <v>4200</v>
      </c>
      <c r="G38" s="17" t="n">
        <f aca="false">$B$8</f>
        <v>4200</v>
      </c>
      <c r="H38" s="17" t="n">
        <f aca="false">$B$8</f>
        <v>4200</v>
      </c>
      <c r="I38" s="17" t="n">
        <f aca="false">$B$8</f>
        <v>4200</v>
      </c>
      <c r="J38" s="17" t="n">
        <f aca="false">$B$8</f>
        <v>4200</v>
      </c>
      <c r="K38" s="17" t="n">
        <f aca="false">$B$8</f>
        <v>4200</v>
      </c>
      <c r="L38" s="17" t="n">
        <f aca="false">$B$8</f>
        <v>4200</v>
      </c>
      <c r="M38" s="17" t="n">
        <f aca="false">$B$8</f>
        <v>4200</v>
      </c>
      <c r="O38" s="51" t="n">
        <f aca="false">SUM(B38:M38)</f>
        <v>50400</v>
      </c>
      <c r="P38" s="23" t="n">
        <f aca="false">IF(O26=0,0,O38/O26)</f>
        <v>0.0583333333333333</v>
      </c>
    </row>
    <row r="39" customFormat="false" ht="16.5" hidden="false" customHeight="true" outlineLevel="0" collapsed="false">
      <c r="A39" s="11" t="s">
        <v>83</v>
      </c>
      <c r="B39" s="12" t="n">
        <f aca="false">$B$9</f>
        <v>7500</v>
      </c>
      <c r="C39" s="12" t="n">
        <f aca="false">$B$9</f>
        <v>7500</v>
      </c>
      <c r="D39" s="12" t="n">
        <f aca="false">$B$9</f>
        <v>7500</v>
      </c>
      <c r="E39" s="12" t="n">
        <f aca="false">$B$9</f>
        <v>7500</v>
      </c>
      <c r="F39" s="12" t="n">
        <f aca="false">$B$9</f>
        <v>7500</v>
      </c>
      <c r="G39" s="12" t="n">
        <f aca="false">$B$9</f>
        <v>7500</v>
      </c>
      <c r="H39" s="12" t="n">
        <f aca="false">$B$9</f>
        <v>7500</v>
      </c>
      <c r="I39" s="12" t="n">
        <f aca="false">$B$9</f>
        <v>7500</v>
      </c>
      <c r="J39" s="12" t="n">
        <f aca="false">$B$9</f>
        <v>7500</v>
      </c>
      <c r="K39" s="12" t="n">
        <f aca="false">$B$9</f>
        <v>7500</v>
      </c>
      <c r="L39" s="12" t="n">
        <f aca="false">$B$9</f>
        <v>7500</v>
      </c>
      <c r="M39" s="12" t="n">
        <f aca="false">$B$9</f>
        <v>7500</v>
      </c>
      <c r="O39" s="50" t="n">
        <f aca="false">SUM(B39:M39)</f>
        <v>90000</v>
      </c>
      <c r="P39" s="25" t="n">
        <f aca="false">IF(O26=0,0,O39/O26)</f>
        <v>0.104166666666667</v>
      </c>
    </row>
    <row r="40" customFormat="false" ht="16.5" hidden="false" customHeight="true" outlineLevel="0" collapsed="false">
      <c r="A40" s="16" t="s">
        <v>84</v>
      </c>
      <c r="B40" s="51" t="n">
        <f aca="false">$B$10*B$18</f>
        <v>1610</v>
      </c>
      <c r="C40" s="51" t="n">
        <f aca="false">$B$10*C$18</f>
        <v>1610</v>
      </c>
      <c r="D40" s="51" t="n">
        <f aca="false">$B$10*D$18</f>
        <v>1400</v>
      </c>
      <c r="E40" s="51" t="n">
        <f aca="false">$B$10*E$18</f>
        <v>1260</v>
      </c>
      <c r="F40" s="51" t="n">
        <f aca="false">$B$10*F$18</f>
        <v>1330</v>
      </c>
      <c r="G40" s="51" t="n">
        <f aca="false">$B$10*G$18</f>
        <v>1470</v>
      </c>
      <c r="H40" s="51" t="n">
        <f aca="false">$B$10*H$18</f>
        <v>1652</v>
      </c>
      <c r="I40" s="51" t="n">
        <f aca="false">$B$10*I$18</f>
        <v>1652</v>
      </c>
      <c r="J40" s="51" t="n">
        <f aca="false">$B$10*J$18</f>
        <v>1330</v>
      </c>
      <c r="K40" s="51" t="n">
        <f aca="false">$B$10*K$18</f>
        <v>1260</v>
      </c>
      <c r="L40" s="51" t="n">
        <f aca="false">$B$10*L$18</f>
        <v>1400</v>
      </c>
      <c r="M40" s="51" t="n">
        <f aca="false">$B$10*M$18</f>
        <v>1540</v>
      </c>
      <c r="O40" s="51" t="n">
        <f aca="false">SUM(B40:M40)</f>
        <v>17514</v>
      </c>
      <c r="P40" s="23" t="n">
        <f aca="false">IF(O26=0,0,O40/O26)</f>
        <v>0.0202708333333333</v>
      </c>
    </row>
    <row r="41" customFormat="false" ht="16.5" hidden="false" customHeight="true" outlineLevel="0" collapsed="false">
      <c r="A41" s="11" t="s">
        <v>85</v>
      </c>
      <c r="B41" s="50" t="n">
        <f aca="false">B26*$B$11</f>
        <v>2116.8</v>
      </c>
      <c r="C41" s="50" t="n">
        <f aca="false">C26*$B$11</f>
        <v>2203.2</v>
      </c>
      <c r="D41" s="50" t="n">
        <f aca="false">D26*$B$11</f>
        <v>2203.2</v>
      </c>
      <c r="E41" s="50" t="n">
        <f aca="false">E26*$B$11</f>
        <v>2160</v>
      </c>
      <c r="F41" s="50" t="n">
        <f aca="false">F26*$B$11</f>
        <v>2203.2</v>
      </c>
      <c r="G41" s="50" t="n">
        <f aca="false">G26*$B$11</f>
        <v>2160</v>
      </c>
      <c r="H41" s="50" t="n">
        <f aca="false">H26*$B$11</f>
        <v>2095.2</v>
      </c>
      <c r="I41" s="50" t="n">
        <f aca="false">I26*$B$11</f>
        <v>2116.8</v>
      </c>
      <c r="J41" s="50" t="n">
        <f aca="false">J26*$B$11</f>
        <v>2160</v>
      </c>
      <c r="K41" s="50" t="n">
        <f aca="false">K26*$B$11</f>
        <v>2181.6</v>
      </c>
      <c r="L41" s="50" t="n">
        <f aca="false">L26*$B$11</f>
        <v>2160</v>
      </c>
      <c r="M41" s="50" t="n">
        <f aca="false">M26*$B$11</f>
        <v>2160</v>
      </c>
      <c r="O41" s="50" t="n">
        <f aca="false">SUM(B41:M41)</f>
        <v>25920</v>
      </c>
      <c r="P41" s="25" t="n">
        <f aca="false">IF(O26=0,0,O41/O26)</f>
        <v>0.03</v>
      </c>
    </row>
    <row r="42" customFormat="false" ht="16.5" hidden="false" customHeight="true" outlineLevel="0" collapsed="false">
      <c r="A42" s="16" t="s">
        <v>86</v>
      </c>
      <c r="B42" s="17" t="n">
        <f aca="false">$B$12</f>
        <v>550</v>
      </c>
      <c r="C42" s="17" t="n">
        <f aca="false">$B$12</f>
        <v>550</v>
      </c>
      <c r="D42" s="17" t="n">
        <f aca="false">$B$12</f>
        <v>550</v>
      </c>
      <c r="E42" s="17" t="n">
        <f aca="false">$B$12</f>
        <v>550</v>
      </c>
      <c r="F42" s="17" t="n">
        <f aca="false">$B$12</f>
        <v>550</v>
      </c>
      <c r="G42" s="17" t="n">
        <f aca="false">$B$12</f>
        <v>550</v>
      </c>
      <c r="H42" s="17" t="n">
        <f aca="false">$B$12</f>
        <v>550</v>
      </c>
      <c r="I42" s="17" t="n">
        <f aca="false">$B$12</f>
        <v>550</v>
      </c>
      <c r="J42" s="17" t="n">
        <f aca="false">$B$12</f>
        <v>550</v>
      </c>
      <c r="K42" s="17" t="n">
        <f aca="false">$B$12</f>
        <v>550</v>
      </c>
      <c r="L42" s="17" t="n">
        <f aca="false">$B$12</f>
        <v>550</v>
      </c>
      <c r="M42" s="17" t="n">
        <f aca="false">$B$12</f>
        <v>550</v>
      </c>
      <c r="O42" s="51" t="n">
        <f aca="false">SUM(B42:M42)</f>
        <v>6600</v>
      </c>
      <c r="P42" s="23" t="n">
        <f aca="false">IF(O26=0,0,O42/O26)</f>
        <v>0.00763888888888889</v>
      </c>
    </row>
    <row r="43" customFormat="false" ht="16.5" hidden="false" customHeight="true" outlineLevel="0" collapsed="false">
      <c r="A43" s="56" t="s">
        <v>11</v>
      </c>
      <c r="B43" s="53" t="n">
        <f aca="false">B37+B38+B39+B40+B41+B42</f>
        <v>30088.8</v>
      </c>
      <c r="C43" s="53" t="n">
        <f aca="false">C37+C38+C39+C40+C41+C42</f>
        <v>30751.2</v>
      </c>
      <c r="D43" s="53" t="n">
        <f aca="false">D37+D38+D39+D40+D41+D42</f>
        <v>30541.2</v>
      </c>
      <c r="E43" s="53" t="n">
        <f aca="false">E37+E38+E39+E40+E41+E42</f>
        <v>30070</v>
      </c>
      <c r="F43" s="53" t="n">
        <f aca="false">F37+F38+F39+F40+F41+F42</f>
        <v>30471.2</v>
      </c>
      <c r="G43" s="53" t="n">
        <f aca="false">G37+G38+G39+G40+G41+G42</f>
        <v>30280</v>
      </c>
      <c r="H43" s="53" t="n">
        <f aca="false">H37+H38+H39+H40+H41+H42</f>
        <v>29965.2</v>
      </c>
      <c r="I43" s="53" t="n">
        <f aca="false">I37+I38+I39+I40+I41+I42</f>
        <v>30130.8</v>
      </c>
      <c r="J43" s="53" t="n">
        <f aca="false">J37+J38+J39+J40+J41+J42</f>
        <v>30140</v>
      </c>
      <c r="K43" s="53" t="n">
        <f aca="false">K37+K38+K39+K40+K41+K42</f>
        <v>30235.6</v>
      </c>
      <c r="L43" s="53" t="n">
        <f aca="false">L37+L38+L39+L40+L41+L42</f>
        <v>30210</v>
      </c>
      <c r="M43" s="53" t="n">
        <f aca="false">M37+M38+M39+M40+M41+M42</f>
        <v>30350</v>
      </c>
      <c r="O43" s="54" t="n">
        <f aca="false">SUM(B43:M43)</f>
        <v>363234</v>
      </c>
      <c r="P43" s="55" t="n">
        <f aca="false">IF(O26=0,0,O43/O26)</f>
        <v>0.420409722222222</v>
      </c>
    </row>
    <row r="44" customFormat="false" ht="6" hidden="false" customHeight="true" outlineLevel="0" collapsed="false"/>
    <row r="45" customFormat="false" ht="16.5" hidden="false" customHeight="true" outlineLevel="0" collapsed="false">
      <c r="A45" s="56" t="s">
        <v>87</v>
      </c>
      <c r="B45" s="53" t="n">
        <f aca="false">B33-B43</f>
        <v>17892</v>
      </c>
      <c r="C45" s="53" t="n">
        <f aca="false">C33-C43</f>
        <v>19188</v>
      </c>
      <c r="D45" s="53" t="n">
        <f aca="false">D33-D43</f>
        <v>19398</v>
      </c>
      <c r="E45" s="53" t="n">
        <f aca="false">E33-E43</f>
        <v>18890</v>
      </c>
      <c r="F45" s="53" t="n">
        <f aca="false">F33-F43</f>
        <v>19468</v>
      </c>
      <c r="G45" s="53" t="n">
        <f aca="false">G33-G43</f>
        <v>18320</v>
      </c>
      <c r="H45" s="53" t="n">
        <f aca="false">H33-H43</f>
        <v>16967.28</v>
      </c>
      <c r="I45" s="53" t="n">
        <f aca="false">I33-I43</f>
        <v>17497.2</v>
      </c>
      <c r="J45" s="53" t="n">
        <f aca="false">J33-J43</f>
        <v>18820</v>
      </c>
      <c r="K45" s="53" t="n">
        <f aca="false">K33-K43</f>
        <v>19214</v>
      </c>
      <c r="L45" s="53" t="n">
        <f aca="false">L33-L43</f>
        <v>18750</v>
      </c>
      <c r="M45" s="53" t="n">
        <f aca="false">M33-M43</f>
        <v>18610</v>
      </c>
      <c r="O45" s="54" t="n">
        <f aca="false">SUM(B45:M45)</f>
        <v>223014.48</v>
      </c>
      <c r="P45" s="55" t="n">
        <f aca="false">IF(O26=0,0,O45/O26)</f>
        <v>0.258118611111111</v>
      </c>
    </row>
    <row r="46" customFormat="false" ht="16.5" hidden="false" customHeight="true" outlineLevel="0" collapsed="false">
      <c r="A46" s="16" t="s">
        <v>88</v>
      </c>
      <c r="B46" s="23" t="n">
        <f aca="false">IF(B26=0,0,B45/B26)</f>
        <v>0.253571428571429</v>
      </c>
      <c r="C46" s="23" t="n">
        <f aca="false">IF(C26=0,0,C45/C26)</f>
        <v>0.261274509803922</v>
      </c>
      <c r="D46" s="23" t="n">
        <f aca="false">IF(D26=0,0,D45/D26)</f>
        <v>0.264133986928105</v>
      </c>
      <c r="E46" s="23" t="n">
        <f aca="false">IF(E26=0,0,E45/E26)</f>
        <v>0.262361111111111</v>
      </c>
      <c r="F46" s="23" t="n">
        <f aca="false">IF(F26=0,0,F45/F26)</f>
        <v>0.265087145969499</v>
      </c>
      <c r="G46" s="23" t="n">
        <f aca="false">IF(G26=0,0,G45/G26)</f>
        <v>0.254444444444444</v>
      </c>
      <c r="H46" s="23" t="n">
        <f aca="false">IF(H26=0,0,H45/H26)</f>
        <v>0.242945017182131</v>
      </c>
      <c r="I46" s="23" t="n">
        <f aca="false">IF(I26=0,0,I45/I26)</f>
        <v>0.247976190476191</v>
      </c>
      <c r="J46" s="23" t="n">
        <f aca="false">IF(J26=0,0,J45/J26)</f>
        <v>0.261388888888889</v>
      </c>
      <c r="K46" s="23" t="n">
        <f aca="false">IF(K26=0,0,K45/K26)</f>
        <v>0.264218921892189</v>
      </c>
      <c r="L46" s="23" t="n">
        <f aca="false">IF(L26=0,0,L45/L26)</f>
        <v>0.260416666666667</v>
      </c>
      <c r="M46" s="23" t="n">
        <f aca="false">IF(M26=0,0,M45/M26)</f>
        <v>0.258472222222222</v>
      </c>
      <c r="O46" s="23" t="n">
        <f aca="false">IF(O26=0,0,O45/O26)</f>
        <v>0.258118611111111</v>
      </c>
      <c r="P46" s="23" t="n">
        <f aca="false">IF(O26=0,0,O45/O26)</f>
        <v>0.258118611111111</v>
      </c>
    </row>
  </sheetData>
  <mergeCells count="5">
    <mergeCell ref="A1:P1"/>
    <mergeCell ref="A2:P2"/>
    <mergeCell ref="A3:P3"/>
    <mergeCell ref="A14:P14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14" min="2" style="0" width="10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27.75" hidden="false" customHeight="true" outlineLevel="0" collapsed="false">
      <c r="A1" s="57" t="s">
        <v>97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customFormat="false" ht="1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19" t="s">
        <v>36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customFormat="false" ht="16.5" hidden="false" customHeight="true" outlineLevel="0" collapsed="false">
      <c r="A4" s="16" t="s">
        <v>37</v>
      </c>
      <c r="B4" s="34" t="n">
        <v>74000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customFormat="false" ht="16.5" hidden="false" customHeight="true" outlineLevel="0" collapsed="false">
      <c r="A5" s="11" t="s">
        <v>38</v>
      </c>
      <c r="B5" s="36" t="n">
        <v>0.3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customFormat="false" ht="16.5" hidden="false" customHeight="true" outlineLevel="0" collapsed="false">
      <c r="A6" s="16" t="s">
        <v>39</v>
      </c>
      <c r="B6" s="36" t="n">
        <v>0.02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customFormat="false" ht="16.5" hidden="false" customHeight="true" outlineLevel="0" collapsed="false">
      <c r="A7" s="11" t="s">
        <v>40</v>
      </c>
      <c r="B7" s="36" t="n">
        <v>0.2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customFormat="false" ht="16.5" hidden="false" customHeight="true" outlineLevel="0" collapsed="false">
      <c r="A8" s="16" t="s">
        <v>41</v>
      </c>
      <c r="B8" s="34" t="n">
        <v>4200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customFormat="false" ht="16.5" hidden="false" customHeight="true" outlineLevel="0" collapsed="false">
      <c r="A9" s="11" t="s">
        <v>42</v>
      </c>
      <c r="B9" s="34" t="n">
        <v>8000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customFormat="false" ht="16.5" hidden="false" customHeight="true" outlineLevel="0" collapsed="false">
      <c r="A10" s="16" t="s">
        <v>43</v>
      </c>
      <c r="B10" s="34" t="n">
        <v>1400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customFormat="false" ht="16.5" hidden="false" customHeight="true" outlineLevel="0" collapsed="false">
      <c r="A11" s="11" t="s">
        <v>44</v>
      </c>
      <c r="B11" s="36" t="n">
        <v>0.03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customFormat="false" ht="16.5" hidden="false" customHeight="true" outlineLevel="0" collapsed="false">
      <c r="A12" s="16" t="s">
        <v>45</v>
      </c>
      <c r="B12" s="34" t="n">
        <v>550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customFormat="false" ht="7.5" hidden="false" customHeight="true" outlineLevel="0" collapsed="false"/>
    <row r="14" customFormat="false" ht="18" hidden="false" customHeight="true" outlineLevel="0" collapsed="false">
      <c r="A14" s="19" t="s">
        <v>46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customFormat="false" ht="15.75" hidden="false" customHeight="true" outlineLevel="0" collapsed="false">
      <c r="A15" s="38"/>
      <c r="B15" s="39" t="s">
        <v>47</v>
      </c>
      <c r="C15" s="39" t="s">
        <v>48</v>
      </c>
      <c r="D15" s="39" t="s">
        <v>49</v>
      </c>
      <c r="E15" s="39" t="s">
        <v>50</v>
      </c>
      <c r="F15" s="39" t="s">
        <v>51</v>
      </c>
      <c r="G15" s="39" t="s">
        <v>52</v>
      </c>
      <c r="H15" s="39" t="s">
        <v>53</v>
      </c>
      <c r="I15" s="39" t="s">
        <v>54</v>
      </c>
      <c r="J15" s="39" t="s">
        <v>55</v>
      </c>
      <c r="K15" s="39" t="s">
        <v>56</v>
      </c>
      <c r="L15" s="39" t="s">
        <v>57</v>
      </c>
      <c r="M15" s="39" t="s">
        <v>58</v>
      </c>
      <c r="O15" s="40" t="s">
        <v>59</v>
      </c>
      <c r="P15" s="40" t="s">
        <v>60</v>
      </c>
    </row>
    <row r="16" customFormat="false" ht="16.5" hidden="false" customHeight="true" outlineLevel="0" collapsed="false">
      <c r="A16" s="16" t="s">
        <v>61</v>
      </c>
      <c r="B16" s="41" t="n">
        <v>0.98</v>
      </c>
      <c r="C16" s="41" t="n">
        <v>1.02</v>
      </c>
      <c r="D16" s="41" t="n">
        <v>1.02</v>
      </c>
      <c r="E16" s="41" t="n">
        <v>1</v>
      </c>
      <c r="F16" s="41" t="n">
        <v>1.02</v>
      </c>
      <c r="G16" s="41" t="n">
        <v>1</v>
      </c>
      <c r="H16" s="41" t="n">
        <v>0.97</v>
      </c>
      <c r="I16" s="41" t="n">
        <v>0.98</v>
      </c>
      <c r="J16" s="41" t="n">
        <v>1</v>
      </c>
      <c r="K16" s="41" t="n">
        <v>1.01</v>
      </c>
      <c r="L16" s="41" t="n">
        <v>1</v>
      </c>
      <c r="M16" s="41" t="n">
        <v>1</v>
      </c>
      <c r="O16" s="42" t="n">
        <f aca="false">AVERAGE(B16:M16)</f>
        <v>1</v>
      </c>
      <c r="P16" s="43" t="s">
        <v>62</v>
      </c>
    </row>
    <row r="17" customFormat="false" ht="16.5" hidden="false" customHeight="true" outlineLevel="0" collapsed="false">
      <c r="A17" s="44" t="s">
        <v>63</v>
      </c>
      <c r="B17" s="45" t="n">
        <v>0</v>
      </c>
      <c r="C17" s="45" t="n">
        <v>0</v>
      </c>
      <c r="D17" s="45" t="n">
        <v>0</v>
      </c>
      <c r="E17" s="45" t="n">
        <v>0</v>
      </c>
      <c r="F17" s="45" t="n">
        <v>0</v>
      </c>
      <c r="G17" s="45" t="n">
        <v>0.005</v>
      </c>
      <c r="H17" s="45" t="n">
        <v>0.008</v>
      </c>
      <c r="I17" s="45" t="n">
        <v>0.005</v>
      </c>
      <c r="J17" s="45" t="n">
        <v>0</v>
      </c>
      <c r="K17" s="45" t="n">
        <v>0</v>
      </c>
      <c r="L17" s="45" t="n">
        <v>0</v>
      </c>
      <c r="M17" s="45" t="n">
        <v>0</v>
      </c>
      <c r="O17" s="46" t="n">
        <f aca="false">AVERAGE(B17:M17)</f>
        <v>0.0015</v>
      </c>
      <c r="P17" s="47" t="s">
        <v>64</v>
      </c>
    </row>
    <row r="18" customFormat="false" ht="16.5" hidden="false" customHeight="true" outlineLevel="0" collapsed="false">
      <c r="A18" s="16" t="s">
        <v>65</v>
      </c>
      <c r="B18" s="41" t="n">
        <v>1.15</v>
      </c>
      <c r="C18" s="41" t="n">
        <v>1.15</v>
      </c>
      <c r="D18" s="41" t="n">
        <v>1</v>
      </c>
      <c r="E18" s="41" t="n">
        <v>0.9</v>
      </c>
      <c r="F18" s="41" t="n">
        <v>0.95</v>
      </c>
      <c r="G18" s="41" t="n">
        <v>1.05</v>
      </c>
      <c r="H18" s="41" t="n">
        <v>1.18</v>
      </c>
      <c r="I18" s="41" t="n">
        <v>1.18</v>
      </c>
      <c r="J18" s="41" t="n">
        <v>0.95</v>
      </c>
      <c r="K18" s="41" t="n">
        <v>0.9</v>
      </c>
      <c r="L18" s="41" t="n">
        <v>1</v>
      </c>
      <c r="M18" s="41" t="n">
        <v>1.1</v>
      </c>
      <c r="O18" s="42" t="n">
        <f aca="false">AVERAGE(B18:M18)</f>
        <v>1.0425</v>
      </c>
      <c r="P18" s="43" t="s">
        <v>66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19" t="s">
        <v>67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customFormat="false" ht="18" hidden="false" customHeight="true" outlineLevel="0" collapsed="false">
      <c r="A21" s="20" t="s">
        <v>68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52</v>
      </c>
      <c r="H21" s="21" t="s">
        <v>53</v>
      </c>
      <c r="I21" s="21" t="s">
        <v>54</v>
      </c>
      <c r="J21" s="21" t="s">
        <v>55</v>
      </c>
      <c r="K21" s="21" t="s">
        <v>56</v>
      </c>
      <c r="L21" s="21" t="s">
        <v>57</v>
      </c>
      <c r="M21" s="21" t="s">
        <v>58</v>
      </c>
      <c r="N21" s="7" t="s">
        <v>69</v>
      </c>
      <c r="O21" s="7" t="s">
        <v>70</v>
      </c>
    </row>
    <row r="22" customFormat="false" ht="16.5" hidden="false" customHeight="true" outlineLevel="0" collapsed="false">
      <c r="A22" s="48" t="s">
        <v>71</v>
      </c>
      <c r="O22" s="49"/>
      <c r="P22" s="49"/>
    </row>
    <row r="23" customFormat="false" ht="16.5" hidden="false" customHeight="true" outlineLevel="0" collapsed="false">
      <c r="A23" s="11" t="s">
        <v>93</v>
      </c>
      <c r="B23" s="50" t="n">
        <f aca="false">$B$4*B$16*0.7</f>
        <v>50764</v>
      </c>
      <c r="C23" s="50" t="n">
        <f aca="false">$B$4*C$16*0.7</f>
        <v>52836</v>
      </c>
      <c r="D23" s="50" t="n">
        <f aca="false">$B$4*D$16*0.7</f>
        <v>52836</v>
      </c>
      <c r="E23" s="50" t="n">
        <f aca="false">$B$4*E$16*0.7</f>
        <v>51800</v>
      </c>
      <c r="F23" s="50" t="n">
        <f aca="false">$B$4*F$16*0.7</f>
        <v>52836</v>
      </c>
      <c r="G23" s="50" t="n">
        <f aca="false">$B$4*G$16*0.7</f>
        <v>51800</v>
      </c>
      <c r="H23" s="50" t="n">
        <f aca="false">$B$4*H$16*0.7</f>
        <v>50246</v>
      </c>
      <c r="I23" s="50" t="n">
        <f aca="false">$B$4*I$16*0.7</f>
        <v>50764</v>
      </c>
      <c r="J23" s="50" t="n">
        <f aca="false">$B$4*J$16*0.7</f>
        <v>51800</v>
      </c>
      <c r="K23" s="50" t="n">
        <f aca="false">$B$4*K$16*0.7</f>
        <v>52318</v>
      </c>
      <c r="L23" s="50" t="n">
        <f aca="false">$B$4*L$16*0.7</f>
        <v>51800</v>
      </c>
      <c r="M23" s="50" t="n">
        <f aca="false">$B$4*M$16*0.7</f>
        <v>51800</v>
      </c>
      <c r="O23" s="50" t="n">
        <f aca="false">SUM(B23:M23)</f>
        <v>621600</v>
      </c>
      <c r="P23" s="25" t="n">
        <f aca="false">IF(O26=0,0,O23/O26)</f>
        <v>0.7</v>
      </c>
    </row>
    <row r="24" customFormat="false" ht="16.5" hidden="false" customHeight="true" outlineLevel="0" collapsed="false">
      <c r="A24" s="16" t="s">
        <v>94</v>
      </c>
      <c r="B24" s="51" t="n">
        <f aca="false">$B$4*B$16*0.25</f>
        <v>18130</v>
      </c>
      <c r="C24" s="51" t="n">
        <f aca="false">$B$4*C$16*0.25</f>
        <v>18870</v>
      </c>
      <c r="D24" s="51" t="n">
        <f aca="false">$B$4*D$16*0.25</f>
        <v>18870</v>
      </c>
      <c r="E24" s="51" t="n">
        <f aca="false">$B$4*E$16*0.25</f>
        <v>18500</v>
      </c>
      <c r="F24" s="51" t="n">
        <f aca="false">$B$4*F$16*0.25</f>
        <v>18870</v>
      </c>
      <c r="G24" s="51" t="n">
        <f aca="false">$B$4*G$16*0.25</f>
        <v>18500</v>
      </c>
      <c r="H24" s="51" t="n">
        <f aca="false">$B$4*H$16*0.25</f>
        <v>17945</v>
      </c>
      <c r="I24" s="51" t="n">
        <f aca="false">$B$4*I$16*0.25</f>
        <v>18130</v>
      </c>
      <c r="J24" s="51" t="n">
        <f aca="false">$B$4*J$16*0.25</f>
        <v>18500</v>
      </c>
      <c r="K24" s="51" t="n">
        <f aca="false">$B$4*K$16*0.25</f>
        <v>18685</v>
      </c>
      <c r="L24" s="51" t="n">
        <f aca="false">$B$4*L$16*0.25</f>
        <v>18500</v>
      </c>
      <c r="M24" s="51" t="n">
        <f aca="false">$B$4*M$16*0.25</f>
        <v>18500</v>
      </c>
      <c r="O24" s="51" t="n">
        <f aca="false">SUM(B24:M24)</f>
        <v>222000</v>
      </c>
      <c r="P24" s="23" t="n">
        <f aca="false">IF(O26=0,0,O24/O26)</f>
        <v>0.25</v>
      </c>
    </row>
    <row r="25" customFormat="false" ht="16.5" hidden="false" customHeight="true" outlineLevel="0" collapsed="false">
      <c r="A25" s="11" t="s">
        <v>95</v>
      </c>
      <c r="B25" s="50" t="n">
        <f aca="false">$B$4*B$16*0.05</f>
        <v>3626</v>
      </c>
      <c r="C25" s="50" t="n">
        <f aca="false">$B$4*C$16*0.05</f>
        <v>3774</v>
      </c>
      <c r="D25" s="50" t="n">
        <f aca="false">$B$4*D$16*0.05</f>
        <v>3774</v>
      </c>
      <c r="E25" s="50" t="n">
        <f aca="false">$B$4*E$16*0.05</f>
        <v>3700</v>
      </c>
      <c r="F25" s="50" t="n">
        <f aca="false">$B$4*F$16*0.05</f>
        <v>3774</v>
      </c>
      <c r="G25" s="50" t="n">
        <f aca="false">$B$4*G$16*0.05</f>
        <v>3700</v>
      </c>
      <c r="H25" s="50" t="n">
        <f aca="false">$B$4*H$16*0.05</f>
        <v>3589</v>
      </c>
      <c r="I25" s="50" t="n">
        <f aca="false">$B$4*I$16*0.05</f>
        <v>3626</v>
      </c>
      <c r="J25" s="50" t="n">
        <f aca="false">$B$4*J$16*0.05</f>
        <v>3700</v>
      </c>
      <c r="K25" s="50" t="n">
        <f aca="false">$B$4*K$16*0.05</f>
        <v>3737</v>
      </c>
      <c r="L25" s="50" t="n">
        <f aca="false">$B$4*L$16*0.05</f>
        <v>3700</v>
      </c>
      <c r="M25" s="50" t="n">
        <f aca="false">$B$4*M$16*0.05</f>
        <v>3700</v>
      </c>
      <c r="O25" s="50" t="n">
        <f aca="false">SUM(B25:M25)</f>
        <v>44400</v>
      </c>
      <c r="P25" s="25" t="n">
        <f aca="false">IF(O26=0,0,O25/O26)</f>
        <v>0.05</v>
      </c>
    </row>
    <row r="26" customFormat="false" ht="16.5" hidden="false" customHeight="true" outlineLevel="0" collapsed="false">
      <c r="A26" s="52" t="s">
        <v>75</v>
      </c>
      <c r="B26" s="53" t="n">
        <f aca="false">B23+B24+B25</f>
        <v>72520</v>
      </c>
      <c r="C26" s="53" t="n">
        <f aca="false">C23+C24+C25</f>
        <v>75480</v>
      </c>
      <c r="D26" s="53" t="n">
        <f aca="false">D23+D24+D25</f>
        <v>75480</v>
      </c>
      <c r="E26" s="53" t="n">
        <f aca="false">E23+E24+E25</f>
        <v>74000</v>
      </c>
      <c r="F26" s="53" t="n">
        <f aca="false">F23+F24+F25</f>
        <v>75480</v>
      </c>
      <c r="G26" s="53" t="n">
        <f aca="false">G23+G24+G25</f>
        <v>74000</v>
      </c>
      <c r="H26" s="53" t="n">
        <f aca="false">H23+H24+H25</f>
        <v>71780</v>
      </c>
      <c r="I26" s="53" t="n">
        <f aca="false">I23+I24+I25</f>
        <v>72520</v>
      </c>
      <c r="J26" s="53" t="n">
        <f aca="false">J23+J24+J25</f>
        <v>74000</v>
      </c>
      <c r="K26" s="53" t="n">
        <f aca="false">K23+K24+K25</f>
        <v>74740</v>
      </c>
      <c r="L26" s="53" t="n">
        <f aca="false">L23+L24+L25</f>
        <v>74000</v>
      </c>
      <c r="M26" s="53" t="n">
        <f aca="false">M23+M24+M25</f>
        <v>74000</v>
      </c>
      <c r="O26" s="54" t="n">
        <f aca="false">SUM(B26:M26)</f>
        <v>888000</v>
      </c>
      <c r="P26" s="55" t="n">
        <f aca="false">IF(O26=0,0,O26/O26)</f>
        <v>1</v>
      </c>
    </row>
    <row r="27" customFormat="false" ht="6" hidden="false" customHeight="true" outlineLevel="0" collapsed="false"/>
    <row r="28" customFormat="false" ht="16.5" hidden="false" customHeight="true" outlineLevel="0" collapsed="false">
      <c r="A28" s="48" t="s">
        <v>76</v>
      </c>
      <c r="O28" s="49"/>
      <c r="P28" s="49"/>
    </row>
    <row r="29" customFormat="false" ht="16.5" hidden="false" customHeight="true" outlineLevel="0" collapsed="false">
      <c r="A29" s="11" t="s">
        <v>77</v>
      </c>
      <c r="B29" s="50" t="n">
        <f aca="false">B26*($B$5+B$17)</f>
        <v>21756</v>
      </c>
      <c r="C29" s="50" t="n">
        <f aca="false">C26*($B$5+C$17)</f>
        <v>22644</v>
      </c>
      <c r="D29" s="50" t="n">
        <f aca="false">D26*($B$5+D$17)</f>
        <v>22644</v>
      </c>
      <c r="E29" s="50" t="n">
        <f aca="false">E26*($B$5+E$17)</f>
        <v>22200</v>
      </c>
      <c r="F29" s="50" t="n">
        <f aca="false">F26*($B$5+F$17)</f>
        <v>22644</v>
      </c>
      <c r="G29" s="50" t="n">
        <f aca="false">G26*($B$5+G$17)</f>
        <v>22570</v>
      </c>
      <c r="H29" s="50" t="n">
        <f aca="false">H26*($B$5+H$17)</f>
        <v>22108.24</v>
      </c>
      <c r="I29" s="50" t="n">
        <f aca="false">I26*($B$5+I$17)</f>
        <v>22118.6</v>
      </c>
      <c r="J29" s="50" t="n">
        <f aca="false">J26*($B$5+J$17)</f>
        <v>22200</v>
      </c>
      <c r="K29" s="50" t="n">
        <f aca="false">K26*($B$5+K$17)</f>
        <v>22422</v>
      </c>
      <c r="L29" s="50" t="n">
        <f aca="false">L26*($B$5+L$17)</f>
        <v>22200</v>
      </c>
      <c r="M29" s="50" t="n">
        <f aca="false">M26*($B$5+M$17)</f>
        <v>22200</v>
      </c>
      <c r="O29" s="50" t="n">
        <f aca="false">SUM(B29:M29)</f>
        <v>267706.84</v>
      </c>
      <c r="P29" s="25" t="n">
        <f aca="false">IF(O26=0,0,O29/O26)</f>
        <v>0.301471666666667</v>
      </c>
    </row>
    <row r="30" customFormat="false" ht="16.5" hidden="false" customHeight="true" outlineLevel="0" collapsed="false">
      <c r="A30" s="16" t="s">
        <v>78</v>
      </c>
      <c r="B30" s="51" t="n">
        <f aca="false">B26*$B$6</f>
        <v>1450.4</v>
      </c>
      <c r="C30" s="51" t="n">
        <f aca="false">C26*$B$6</f>
        <v>1509.6</v>
      </c>
      <c r="D30" s="51" t="n">
        <f aca="false">D26*$B$6</f>
        <v>1509.6</v>
      </c>
      <c r="E30" s="51" t="n">
        <f aca="false">E26*$B$6</f>
        <v>1480</v>
      </c>
      <c r="F30" s="51" t="n">
        <f aca="false">F26*$B$6</f>
        <v>1509.6</v>
      </c>
      <c r="G30" s="51" t="n">
        <f aca="false">G26*$B$6</f>
        <v>1480</v>
      </c>
      <c r="H30" s="51" t="n">
        <f aca="false">H26*$B$6</f>
        <v>1435.6</v>
      </c>
      <c r="I30" s="51" t="n">
        <f aca="false">I26*$B$6</f>
        <v>1450.4</v>
      </c>
      <c r="J30" s="51" t="n">
        <f aca="false">J26*$B$6</f>
        <v>1480</v>
      </c>
      <c r="K30" s="51" t="n">
        <f aca="false">K26*$B$6</f>
        <v>1494.8</v>
      </c>
      <c r="L30" s="51" t="n">
        <f aca="false">L26*$B$6</f>
        <v>1480</v>
      </c>
      <c r="M30" s="51" t="n">
        <f aca="false">M26*$B$6</f>
        <v>1480</v>
      </c>
      <c r="O30" s="51" t="n">
        <f aca="false">SUM(B30:M30)</f>
        <v>17760</v>
      </c>
      <c r="P30" s="23" t="n">
        <f aca="false">IF(O26=0,0,O30/O26)</f>
        <v>0.02</v>
      </c>
    </row>
    <row r="31" customFormat="false" ht="16.5" hidden="false" customHeight="true" outlineLevel="0" collapsed="false">
      <c r="A31" s="56" t="s">
        <v>8</v>
      </c>
      <c r="B31" s="53" t="n">
        <f aca="false">B29+B30</f>
        <v>23206.4</v>
      </c>
      <c r="C31" s="53" t="n">
        <f aca="false">C29+C30</f>
        <v>24153.6</v>
      </c>
      <c r="D31" s="53" t="n">
        <f aca="false">D29+D30</f>
        <v>24153.6</v>
      </c>
      <c r="E31" s="53" t="n">
        <f aca="false">E29+E30</f>
        <v>23680</v>
      </c>
      <c r="F31" s="53" t="n">
        <f aca="false">F29+F30</f>
        <v>24153.6</v>
      </c>
      <c r="G31" s="53" t="n">
        <f aca="false">G29+G30</f>
        <v>24050</v>
      </c>
      <c r="H31" s="53" t="n">
        <f aca="false">H29+H30</f>
        <v>23543.84</v>
      </c>
      <c r="I31" s="53" t="n">
        <f aca="false">I29+I30</f>
        <v>23569</v>
      </c>
      <c r="J31" s="53" t="n">
        <f aca="false">J29+J30</f>
        <v>23680</v>
      </c>
      <c r="K31" s="53" t="n">
        <f aca="false">K29+K30</f>
        <v>23916.8</v>
      </c>
      <c r="L31" s="53" t="n">
        <f aca="false">L29+L30</f>
        <v>23680</v>
      </c>
      <c r="M31" s="53" t="n">
        <f aca="false">M29+M30</f>
        <v>23680</v>
      </c>
      <c r="O31" s="54" t="n">
        <f aca="false">SUM(B31:M31)</f>
        <v>285466.84</v>
      </c>
      <c r="P31" s="55" t="n">
        <f aca="false">IF(O26=0,0,O31/O26)</f>
        <v>0.321471666666667</v>
      </c>
    </row>
    <row r="32" customFormat="false" ht="6" hidden="false" customHeight="true" outlineLevel="0" collapsed="false"/>
    <row r="33" customFormat="false" ht="16.5" hidden="false" customHeight="true" outlineLevel="0" collapsed="false">
      <c r="A33" s="56" t="s">
        <v>79</v>
      </c>
      <c r="B33" s="53" t="n">
        <f aca="false">B26-B31</f>
        <v>49313.6</v>
      </c>
      <c r="C33" s="53" t="n">
        <f aca="false">C26-C31</f>
        <v>51326.4</v>
      </c>
      <c r="D33" s="53" t="n">
        <f aca="false">D26-D31</f>
        <v>51326.4</v>
      </c>
      <c r="E33" s="53" t="n">
        <f aca="false">E26-E31</f>
        <v>50320</v>
      </c>
      <c r="F33" s="53" t="n">
        <f aca="false">F26-F31</f>
        <v>51326.4</v>
      </c>
      <c r="G33" s="53" t="n">
        <f aca="false">G26-G31</f>
        <v>49950</v>
      </c>
      <c r="H33" s="53" t="n">
        <f aca="false">H26-H31</f>
        <v>48236.16</v>
      </c>
      <c r="I33" s="53" t="n">
        <f aca="false">I26-I31</f>
        <v>48951</v>
      </c>
      <c r="J33" s="53" t="n">
        <f aca="false">J26-J31</f>
        <v>50320</v>
      </c>
      <c r="K33" s="53" t="n">
        <f aca="false">K26-K31</f>
        <v>50823.2</v>
      </c>
      <c r="L33" s="53" t="n">
        <f aca="false">L26-L31</f>
        <v>50320</v>
      </c>
      <c r="M33" s="53" t="n">
        <f aca="false">M26-M31</f>
        <v>50320</v>
      </c>
      <c r="O33" s="54" t="n">
        <f aca="false">SUM(B33:M33)</f>
        <v>602533.16</v>
      </c>
      <c r="P33" s="55" t="n">
        <f aca="false">IF(O26=0,0,O33/O26)</f>
        <v>0.678528333333333</v>
      </c>
    </row>
    <row r="34" customFormat="false" ht="16.5" hidden="false" customHeight="true" outlineLevel="0" collapsed="false">
      <c r="A34" s="16" t="s">
        <v>10</v>
      </c>
      <c r="B34" s="23" t="n">
        <f aca="false">IF(B26=0,0,B33/B26)</f>
        <v>0.68</v>
      </c>
      <c r="C34" s="23" t="n">
        <f aca="false">IF(C26=0,0,C33/C26)</f>
        <v>0.68</v>
      </c>
      <c r="D34" s="23" t="n">
        <f aca="false">IF(D26=0,0,D33/D26)</f>
        <v>0.68</v>
      </c>
      <c r="E34" s="23" t="n">
        <f aca="false">IF(E26=0,0,E33/E26)</f>
        <v>0.68</v>
      </c>
      <c r="F34" s="23" t="n">
        <f aca="false">IF(F26=0,0,F33/F26)</f>
        <v>0.68</v>
      </c>
      <c r="G34" s="23" t="n">
        <f aca="false">IF(G26=0,0,G33/G26)</f>
        <v>0.675</v>
      </c>
      <c r="H34" s="23" t="n">
        <f aca="false">IF(H26=0,0,H33/H26)</f>
        <v>0.672</v>
      </c>
      <c r="I34" s="23" t="n">
        <f aca="false">IF(I26=0,0,I33/I26)</f>
        <v>0.675</v>
      </c>
      <c r="J34" s="23" t="n">
        <f aca="false">IF(J26=0,0,J33/J26)</f>
        <v>0.68</v>
      </c>
      <c r="K34" s="23" t="n">
        <f aca="false">IF(K26=0,0,K33/K26)</f>
        <v>0.68</v>
      </c>
      <c r="L34" s="23" t="n">
        <f aca="false">IF(L26=0,0,L33/L26)</f>
        <v>0.68</v>
      </c>
      <c r="M34" s="23" t="n">
        <f aca="false">IF(M26=0,0,M33/M26)</f>
        <v>0.68</v>
      </c>
      <c r="O34" s="23" t="n">
        <f aca="false">IF(O26=0,0,O33/O26)</f>
        <v>0.678528333333333</v>
      </c>
      <c r="P34" s="23" t="n">
        <f aca="false">IF(O26=0,0,O33/O26)</f>
        <v>0.678528333333333</v>
      </c>
    </row>
    <row r="35" customFormat="false" ht="6" hidden="false" customHeight="true" outlineLevel="0" collapsed="false"/>
    <row r="36" customFormat="false" ht="16.5" hidden="false" customHeight="true" outlineLevel="0" collapsed="false">
      <c r="A36" s="48" t="s">
        <v>80</v>
      </c>
      <c r="O36" s="49"/>
      <c r="P36" s="49"/>
    </row>
    <row r="37" customFormat="false" ht="16.5" hidden="false" customHeight="true" outlineLevel="0" collapsed="false">
      <c r="A37" s="11" t="s">
        <v>81</v>
      </c>
      <c r="B37" s="50" t="n">
        <f aca="false">B26*$B$7</f>
        <v>14504</v>
      </c>
      <c r="C37" s="50" t="n">
        <f aca="false">C26*$B$7</f>
        <v>15096</v>
      </c>
      <c r="D37" s="50" t="n">
        <f aca="false">D26*$B$7</f>
        <v>15096</v>
      </c>
      <c r="E37" s="50" t="n">
        <f aca="false">E26*$B$7</f>
        <v>14800</v>
      </c>
      <c r="F37" s="50" t="n">
        <f aca="false">F26*$B$7</f>
        <v>15096</v>
      </c>
      <c r="G37" s="50" t="n">
        <f aca="false">G26*$B$7</f>
        <v>14800</v>
      </c>
      <c r="H37" s="50" t="n">
        <f aca="false">H26*$B$7</f>
        <v>14356</v>
      </c>
      <c r="I37" s="50" t="n">
        <f aca="false">I26*$B$7</f>
        <v>14504</v>
      </c>
      <c r="J37" s="50" t="n">
        <f aca="false">J26*$B$7</f>
        <v>14800</v>
      </c>
      <c r="K37" s="50" t="n">
        <f aca="false">K26*$B$7</f>
        <v>14948</v>
      </c>
      <c r="L37" s="50" t="n">
        <f aca="false">L26*$B$7</f>
        <v>14800</v>
      </c>
      <c r="M37" s="50" t="n">
        <f aca="false">M26*$B$7</f>
        <v>14800</v>
      </c>
      <c r="O37" s="50" t="n">
        <f aca="false">SUM(B37:M37)</f>
        <v>177600</v>
      </c>
      <c r="P37" s="25" t="n">
        <f aca="false">IF(O26=0,0,O37/O26)</f>
        <v>0.2</v>
      </c>
    </row>
    <row r="38" customFormat="false" ht="16.5" hidden="false" customHeight="true" outlineLevel="0" collapsed="false">
      <c r="A38" s="16" t="s">
        <v>82</v>
      </c>
      <c r="B38" s="17" t="n">
        <f aca="false">$B$8</f>
        <v>4200</v>
      </c>
      <c r="C38" s="17" t="n">
        <f aca="false">$B$8</f>
        <v>4200</v>
      </c>
      <c r="D38" s="17" t="n">
        <f aca="false">$B$8</f>
        <v>4200</v>
      </c>
      <c r="E38" s="17" t="n">
        <f aca="false">$B$8</f>
        <v>4200</v>
      </c>
      <c r="F38" s="17" t="n">
        <f aca="false">$B$8</f>
        <v>4200</v>
      </c>
      <c r="G38" s="17" t="n">
        <f aca="false">$B$8</f>
        <v>4200</v>
      </c>
      <c r="H38" s="17" t="n">
        <f aca="false">$B$8</f>
        <v>4200</v>
      </c>
      <c r="I38" s="17" t="n">
        <f aca="false">$B$8</f>
        <v>4200</v>
      </c>
      <c r="J38" s="17" t="n">
        <f aca="false">$B$8</f>
        <v>4200</v>
      </c>
      <c r="K38" s="17" t="n">
        <f aca="false">$B$8</f>
        <v>4200</v>
      </c>
      <c r="L38" s="17" t="n">
        <f aca="false">$B$8</f>
        <v>4200</v>
      </c>
      <c r="M38" s="17" t="n">
        <f aca="false">$B$8</f>
        <v>4200</v>
      </c>
      <c r="O38" s="51" t="n">
        <f aca="false">SUM(B38:M38)</f>
        <v>50400</v>
      </c>
      <c r="P38" s="23" t="n">
        <f aca="false">IF(O26=0,0,O38/O26)</f>
        <v>0.0567567567567568</v>
      </c>
    </row>
    <row r="39" customFormat="false" ht="16.5" hidden="false" customHeight="true" outlineLevel="0" collapsed="false">
      <c r="A39" s="11" t="s">
        <v>83</v>
      </c>
      <c r="B39" s="12" t="n">
        <f aca="false">$B$9</f>
        <v>8000</v>
      </c>
      <c r="C39" s="12" t="n">
        <f aca="false">$B$9</f>
        <v>8000</v>
      </c>
      <c r="D39" s="12" t="n">
        <f aca="false">$B$9</f>
        <v>8000</v>
      </c>
      <c r="E39" s="12" t="n">
        <f aca="false">$B$9</f>
        <v>8000</v>
      </c>
      <c r="F39" s="12" t="n">
        <f aca="false">$B$9</f>
        <v>8000</v>
      </c>
      <c r="G39" s="12" t="n">
        <f aca="false">$B$9</f>
        <v>8000</v>
      </c>
      <c r="H39" s="12" t="n">
        <f aca="false">$B$9</f>
        <v>8000</v>
      </c>
      <c r="I39" s="12" t="n">
        <f aca="false">$B$9</f>
        <v>8000</v>
      </c>
      <c r="J39" s="12" t="n">
        <f aca="false">$B$9</f>
        <v>8000</v>
      </c>
      <c r="K39" s="12" t="n">
        <f aca="false">$B$9</f>
        <v>8000</v>
      </c>
      <c r="L39" s="12" t="n">
        <f aca="false">$B$9</f>
        <v>8000</v>
      </c>
      <c r="M39" s="12" t="n">
        <f aca="false">$B$9</f>
        <v>8000</v>
      </c>
      <c r="O39" s="50" t="n">
        <f aca="false">SUM(B39:M39)</f>
        <v>96000</v>
      </c>
      <c r="P39" s="25" t="n">
        <f aca="false">IF(O26=0,0,O39/O26)</f>
        <v>0.108108108108108</v>
      </c>
    </row>
    <row r="40" customFormat="false" ht="16.5" hidden="false" customHeight="true" outlineLevel="0" collapsed="false">
      <c r="A40" s="16" t="s">
        <v>84</v>
      </c>
      <c r="B40" s="51" t="n">
        <f aca="false">$B$10*B$18</f>
        <v>1610</v>
      </c>
      <c r="C40" s="51" t="n">
        <f aca="false">$B$10*C$18</f>
        <v>1610</v>
      </c>
      <c r="D40" s="51" t="n">
        <f aca="false">$B$10*D$18</f>
        <v>1400</v>
      </c>
      <c r="E40" s="51" t="n">
        <f aca="false">$B$10*E$18</f>
        <v>1260</v>
      </c>
      <c r="F40" s="51" t="n">
        <f aca="false">$B$10*F$18</f>
        <v>1330</v>
      </c>
      <c r="G40" s="51" t="n">
        <f aca="false">$B$10*G$18</f>
        <v>1470</v>
      </c>
      <c r="H40" s="51" t="n">
        <f aca="false">$B$10*H$18</f>
        <v>1652</v>
      </c>
      <c r="I40" s="51" t="n">
        <f aca="false">$B$10*I$18</f>
        <v>1652</v>
      </c>
      <c r="J40" s="51" t="n">
        <f aca="false">$B$10*J$18</f>
        <v>1330</v>
      </c>
      <c r="K40" s="51" t="n">
        <f aca="false">$B$10*K$18</f>
        <v>1260</v>
      </c>
      <c r="L40" s="51" t="n">
        <f aca="false">$B$10*L$18</f>
        <v>1400</v>
      </c>
      <c r="M40" s="51" t="n">
        <f aca="false">$B$10*M$18</f>
        <v>1540</v>
      </c>
      <c r="O40" s="51" t="n">
        <f aca="false">SUM(B40:M40)</f>
        <v>17514</v>
      </c>
      <c r="P40" s="23" t="n">
        <f aca="false">IF(O26=0,0,O40/O26)</f>
        <v>0.019722972972973</v>
      </c>
    </row>
    <row r="41" customFormat="false" ht="16.5" hidden="false" customHeight="true" outlineLevel="0" collapsed="false">
      <c r="A41" s="11" t="s">
        <v>85</v>
      </c>
      <c r="B41" s="50" t="n">
        <f aca="false">B26*$B$11</f>
        <v>2175.6</v>
      </c>
      <c r="C41" s="50" t="n">
        <f aca="false">C26*$B$11</f>
        <v>2264.4</v>
      </c>
      <c r="D41" s="50" t="n">
        <f aca="false">D26*$B$11</f>
        <v>2264.4</v>
      </c>
      <c r="E41" s="50" t="n">
        <f aca="false">E26*$B$11</f>
        <v>2220</v>
      </c>
      <c r="F41" s="50" t="n">
        <f aca="false">F26*$B$11</f>
        <v>2264.4</v>
      </c>
      <c r="G41" s="50" t="n">
        <f aca="false">G26*$B$11</f>
        <v>2220</v>
      </c>
      <c r="H41" s="50" t="n">
        <f aca="false">H26*$B$11</f>
        <v>2153.4</v>
      </c>
      <c r="I41" s="50" t="n">
        <f aca="false">I26*$B$11</f>
        <v>2175.6</v>
      </c>
      <c r="J41" s="50" t="n">
        <f aca="false">J26*$B$11</f>
        <v>2220</v>
      </c>
      <c r="K41" s="50" t="n">
        <f aca="false">K26*$B$11</f>
        <v>2242.2</v>
      </c>
      <c r="L41" s="50" t="n">
        <f aca="false">L26*$B$11</f>
        <v>2220</v>
      </c>
      <c r="M41" s="50" t="n">
        <f aca="false">M26*$B$11</f>
        <v>2220</v>
      </c>
      <c r="O41" s="50" t="n">
        <f aca="false">SUM(B41:M41)</f>
        <v>26640</v>
      </c>
      <c r="P41" s="25" t="n">
        <f aca="false">IF(O26=0,0,O41/O26)</f>
        <v>0.03</v>
      </c>
    </row>
    <row r="42" customFormat="false" ht="16.5" hidden="false" customHeight="true" outlineLevel="0" collapsed="false">
      <c r="A42" s="16" t="s">
        <v>86</v>
      </c>
      <c r="B42" s="17" t="n">
        <f aca="false">$B$12</f>
        <v>550</v>
      </c>
      <c r="C42" s="17" t="n">
        <f aca="false">$B$12</f>
        <v>550</v>
      </c>
      <c r="D42" s="17" t="n">
        <f aca="false">$B$12</f>
        <v>550</v>
      </c>
      <c r="E42" s="17" t="n">
        <f aca="false">$B$12</f>
        <v>550</v>
      </c>
      <c r="F42" s="17" t="n">
        <f aca="false">$B$12</f>
        <v>550</v>
      </c>
      <c r="G42" s="17" t="n">
        <f aca="false">$B$12</f>
        <v>550</v>
      </c>
      <c r="H42" s="17" t="n">
        <f aca="false">$B$12</f>
        <v>550</v>
      </c>
      <c r="I42" s="17" t="n">
        <f aca="false">$B$12</f>
        <v>550</v>
      </c>
      <c r="J42" s="17" t="n">
        <f aca="false">$B$12</f>
        <v>550</v>
      </c>
      <c r="K42" s="17" t="n">
        <f aca="false">$B$12</f>
        <v>550</v>
      </c>
      <c r="L42" s="17" t="n">
        <f aca="false">$B$12</f>
        <v>550</v>
      </c>
      <c r="M42" s="17" t="n">
        <f aca="false">$B$12</f>
        <v>550</v>
      </c>
      <c r="O42" s="51" t="n">
        <f aca="false">SUM(B42:M42)</f>
        <v>6600</v>
      </c>
      <c r="P42" s="23" t="n">
        <f aca="false">IF(O26=0,0,O42/O26)</f>
        <v>0.00743243243243243</v>
      </c>
    </row>
    <row r="43" customFormat="false" ht="16.5" hidden="false" customHeight="true" outlineLevel="0" collapsed="false">
      <c r="A43" s="56" t="s">
        <v>11</v>
      </c>
      <c r="B43" s="53" t="n">
        <f aca="false">B37+B38+B39+B40+B41+B42</f>
        <v>31039.6</v>
      </c>
      <c r="C43" s="53" t="n">
        <f aca="false">C37+C38+C39+C40+C41+C42</f>
        <v>31720.4</v>
      </c>
      <c r="D43" s="53" t="n">
        <f aca="false">D37+D38+D39+D40+D41+D42</f>
        <v>31510.4</v>
      </c>
      <c r="E43" s="53" t="n">
        <f aca="false">E37+E38+E39+E40+E41+E42</f>
        <v>31030</v>
      </c>
      <c r="F43" s="53" t="n">
        <f aca="false">F37+F38+F39+F40+F41+F42</f>
        <v>31440.4</v>
      </c>
      <c r="G43" s="53" t="n">
        <f aca="false">G37+G38+G39+G40+G41+G42</f>
        <v>31240</v>
      </c>
      <c r="H43" s="53" t="n">
        <f aca="false">H37+H38+H39+H40+H41+H42</f>
        <v>30911.4</v>
      </c>
      <c r="I43" s="53" t="n">
        <f aca="false">I37+I38+I39+I40+I41+I42</f>
        <v>31081.6</v>
      </c>
      <c r="J43" s="53" t="n">
        <f aca="false">J37+J38+J39+J40+J41+J42</f>
        <v>31100</v>
      </c>
      <c r="K43" s="53" t="n">
        <f aca="false">K37+K38+K39+K40+K41+K42</f>
        <v>31200.2</v>
      </c>
      <c r="L43" s="53" t="n">
        <f aca="false">L37+L38+L39+L40+L41+L42</f>
        <v>31170</v>
      </c>
      <c r="M43" s="53" t="n">
        <f aca="false">M37+M38+M39+M40+M41+M42</f>
        <v>31310</v>
      </c>
      <c r="O43" s="54" t="n">
        <f aca="false">SUM(B43:M43)</f>
        <v>374754</v>
      </c>
      <c r="P43" s="55" t="n">
        <f aca="false">IF(O26=0,0,O43/O26)</f>
        <v>0.42202027027027</v>
      </c>
    </row>
    <row r="44" customFormat="false" ht="6" hidden="false" customHeight="true" outlineLevel="0" collapsed="false"/>
    <row r="45" customFormat="false" ht="16.5" hidden="false" customHeight="true" outlineLevel="0" collapsed="false">
      <c r="A45" s="56" t="s">
        <v>87</v>
      </c>
      <c r="B45" s="53" t="n">
        <f aca="false">B33-B43</f>
        <v>18274</v>
      </c>
      <c r="C45" s="53" t="n">
        <f aca="false">C33-C43</f>
        <v>19606</v>
      </c>
      <c r="D45" s="53" t="n">
        <f aca="false">D33-D43</f>
        <v>19816</v>
      </c>
      <c r="E45" s="53" t="n">
        <f aca="false">E33-E43</f>
        <v>19290</v>
      </c>
      <c r="F45" s="53" t="n">
        <f aca="false">F33-F43</f>
        <v>19886</v>
      </c>
      <c r="G45" s="53" t="n">
        <f aca="false">G33-G43</f>
        <v>18710</v>
      </c>
      <c r="H45" s="53" t="n">
        <f aca="false">H33-H43</f>
        <v>17324.76</v>
      </c>
      <c r="I45" s="53" t="n">
        <f aca="false">I33-I43</f>
        <v>17869.4</v>
      </c>
      <c r="J45" s="53" t="n">
        <f aca="false">J33-J43</f>
        <v>19220</v>
      </c>
      <c r="K45" s="53" t="n">
        <f aca="false">K33-K43</f>
        <v>19623</v>
      </c>
      <c r="L45" s="53" t="n">
        <f aca="false">L33-L43</f>
        <v>19150</v>
      </c>
      <c r="M45" s="53" t="n">
        <f aca="false">M33-M43</f>
        <v>19010</v>
      </c>
      <c r="O45" s="54" t="n">
        <f aca="false">SUM(B45:M45)</f>
        <v>227779.16</v>
      </c>
      <c r="P45" s="55" t="n">
        <f aca="false">IF(O26=0,0,O45/O26)</f>
        <v>0.256508063063063</v>
      </c>
    </row>
    <row r="46" customFormat="false" ht="16.5" hidden="false" customHeight="true" outlineLevel="0" collapsed="false">
      <c r="A46" s="16" t="s">
        <v>88</v>
      </c>
      <c r="B46" s="23" t="n">
        <f aca="false">IF(B26=0,0,B45/B26)</f>
        <v>0.251985659128516</v>
      </c>
      <c r="C46" s="23" t="n">
        <f aca="false">IF(C26=0,0,C45/C26)</f>
        <v>0.259750927397986</v>
      </c>
      <c r="D46" s="23" t="n">
        <f aca="false">IF(D26=0,0,D45/D26)</f>
        <v>0.262533121356651</v>
      </c>
      <c r="E46" s="23" t="n">
        <f aca="false">IF(E26=0,0,E45/E26)</f>
        <v>0.260675675675676</v>
      </c>
      <c r="F46" s="23" t="n">
        <f aca="false">IF(F26=0,0,F45/F26)</f>
        <v>0.263460519342872</v>
      </c>
      <c r="G46" s="23" t="n">
        <f aca="false">IF(G26=0,0,G45/G26)</f>
        <v>0.252837837837838</v>
      </c>
      <c r="H46" s="23" t="n">
        <f aca="false">IF(H26=0,0,H45/H26)</f>
        <v>0.2413591529674</v>
      </c>
      <c r="I46" s="23" t="n">
        <f aca="false">IF(I26=0,0,I45/I26)</f>
        <v>0.246406508549366</v>
      </c>
      <c r="J46" s="23" t="n">
        <f aca="false">IF(J26=0,0,J45/J26)</f>
        <v>0.25972972972973</v>
      </c>
      <c r="K46" s="23" t="n">
        <f aca="false">IF(K26=0,0,K45/K26)</f>
        <v>0.262550173936313</v>
      </c>
      <c r="L46" s="23" t="n">
        <f aca="false">IF(L26=0,0,L45/L26)</f>
        <v>0.258783783783784</v>
      </c>
      <c r="M46" s="23" t="n">
        <f aca="false">IF(M26=0,0,M45/M26)</f>
        <v>0.256891891891892</v>
      </c>
      <c r="O46" s="23" t="n">
        <f aca="false">IF(O26=0,0,O45/O26)</f>
        <v>0.256508063063063</v>
      </c>
      <c r="P46" s="23" t="n">
        <f aca="false">IF(O26=0,0,O45/O26)</f>
        <v>0.256508063063063</v>
      </c>
    </row>
  </sheetData>
  <mergeCells count="5">
    <mergeCell ref="A1:P1"/>
    <mergeCell ref="A2:P2"/>
    <mergeCell ref="A3:P3"/>
    <mergeCell ref="A14:P14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14" min="2" style="0" width="10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27.75" hidden="false" customHeight="true" outlineLevel="0" collapsed="false">
      <c r="A1" s="58" t="s">
        <v>98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customFormat="false" ht="1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19" t="s">
        <v>36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customFormat="false" ht="16.5" hidden="false" customHeight="true" outlineLevel="0" collapsed="false">
      <c r="A4" s="16" t="s">
        <v>37</v>
      </c>
      <c r="B4" s="34" t="n">
        <v>82000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customFormat="false" ht="16.5" hidden="false" customHeight="true" outlineLevel="0" collapsed="false">
      <c r="A5" s="11" t="s">
        <v>38</v>
      </c>
      <c r="B5" s="36" t="n">
        <v>0.33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customFormat="false" ht="16.5" hidden="false" customHeight="true" outlineLevel="0" collapsed="false">
      <c r="A6" s="16" t="s">
        <v>39</v>
      </c>
      <c r="B6" s="36" t="n">
        <v>0.02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customFormat="false" ht="16.5" hidden="false" customHeight="true" outlineLevel="0" collapsed="false">
      <c r="A7" s="11" t="s">
        <v>40</v>
      </c>
      <c r="B7" s="36" t="n">
        <v>0.21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customFormat="false" ht="16.5" hidden="false" customHeight="true" outlineLevel="0" collapsed="false">
      <c r="A8" s="16" t="s">
        <v>41</v>
      </c>
      <c r="B8" s="34" t="n">
        <v>3200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customFormat="false" ht="16.5" hidden="false" customHeight="true" outlineLevel="0" collapsed="false">
      <c r="A9" s="11" t="s">
        <v>42</v>
      </c>
      <c r="B9" s="34" t="n">
        <v>7000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customFormat="false" ht="16.5" hidden="false" customHeight="true" outlineLevel="0" collapsed="false">
      <c r="A10" s="16" t="s">
        <v>43</v>
      </c>
      <c r="B10" s="34" t="n">
        <v>1000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customFormat="false" ht="16.5" hidden="false" customHeight="true" outlineLevel="0" collapsed="false">
      <c r="A11" s="11" t="s">
        <v>44</v>
      </c>
      <c r="B11" s="36" t="n">
        <v>0.04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customFormat="false" ht="16.5" hidden="false" customHeight="true" outlineLevel="0" collapsed="false">
      <c r="A12" s="16" t="s">
        <v>45</v>
      </c>
      <c r="B12" s="34" t="n">
        <v>450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customFormat="false" ht="7.5" hidden="false" customHeight="true" outlineLevel="0" collapsed="false"/>
    <row r="14" customFormat="false" ht="18" hidden="false" customHeight="true" outlineLevel="0" collapsed="false">
      <c r="A14" s="19" t="s">
        <v>46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customFormat="false" ht="15.75" hidden="false" customHeight="true" outlineLevel="0" collapsed="false">
      <c r="A15" s="38"/>
      <c r="B15" s="39" t="s">
        <v>47</v>
      </c>
      <c r="C15" s="39" t="s">
        <v>48</v>
      </c>
      <c r="D15" s="39" t="s">
        <v>49</v>
      </c>
      <c r="E15" s="39" t="s">
        <v>50</v>
      </c>
      <c r="F15" s="39" t="s">
        <v>51</v>
      </c>
      <c r="G15" s="39" t="s">
        <v>52</v>
      </c>
      <c r="H15" s="39" t="s">
        <v>53</v>
      </c>
      <c r="I15" s="39" t="s">
        <v>54</v>
      </c>
      <c r="J15" s="39" t="s">
        <v>55</v>
      </c>
      <c r="K15" s="39" t="s">
        <v>56</v>
      </c>
      <c r="L15" s="39" t="s">
        <v>57</v>
      </c>
      <c r="M15" s="39" t="s">
        <v>58</v>
      </c>
      <c r="O15" s="40" t="s">
        <v>59</v>
      </c>
      <c r="P15" s="40" t="s">
        <v>60</v>
      </c>
    </row>
    <row r="16" customFormat="false" ht="16.5" hidden="false" customHeight="true" outlineLevel="0" collapsed="false">
      <c r="A16" s="16" t="s">
        <v>61</v>
      </c>
      <c r="B16" s="41" t="n">
        <v>1.08</v>
      </c>
      <c r="C16" s="41" t="n">
        <v>1.35</v>
      </c>
      <c r="D16" s="41" t="n">
        <v>0.88</v>
      </c>
      <c r="E16" s="41" t="n">
        <v>0.82</v>
      </c>
      <c r="F16" s="41" t="n">
        <v>0.88</v>
      </c>
      <c r="G16" s="41" t="n">
        <v>0.85</v>
      </c>
      <c r="H16" s="41" t="n">
        <v>0.88</v>
      </c>
      <c r="I16" s="41" t="n">
        <v>0.9</v>
      </c>
      <c r="J16" s="41" t="n">
        <v>1.08</v>
      </c>
      <c r="K16" s="41" t="n">
        <v>1.12</v>
      </c>
      <c r="L16" s="41" t="n">
        <v>1.1</v>
      </c>
      <c r="M16" s="41" t="n">
        <v>1.06</v>
      </c>
      <c r="O16" s="42" t="n">
        <f aca="false">AVERAGE(B16:M16)</f>
        <v>1</v>
      </c>
      <c r="P16" s="43" t="s">
        <v>62</v>
      </c>
    </row>
    <row r="17" customFormat="false" ht="16.5" hidden="false" customHeight="true" outlineLevel="0" collapsed="false">
      <c r="A17" s="44" t="s">
        <v>63</v>
      </c>
      <c r="B17" s="45" t="n">
        <v>0.005</v>
      </c>
      <c r="C17" s="45" t="n">
        <v>0.035</v>
      </c>
      <c r="D17" s="45" t="n">
        <v>0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5" t="n">
        <v>0.01</v>
      </c>
      <c r="K17" s="45" t="n">
        <v>0.015</v>
      </c>
      <c r="L17" s="45" t="n">
        <v>0.015</v>
      </c>
      <c r="M17" s="45" t="n">
        <v>0.005</v>
      </c>
      <c r="O17" s="46" t="n">
        <f aca="false">AVERAGE(B17:M17)</f>
        <v>0.00708333333333333</v>
      </c>
      <c r="P17" s="47" t="s">
        <v>64</v>
      </c>
    </row>
    <row r="18" customFormat="false" ht="16.5" hidden="false" customHeight="true" outlineLevel="0" collapsed="false">
      <c r="A18" s="16" t="s">
        <v>65</v>
      </c>
      <c r="B18" s="41" t="n">
        <v>1.15</v>
      </c>
      <c r="C18" s="41" t="n">
        <v>1.15</v>
      </c>
      <c r="D18" s="41" t="n">
        <v>1</v>
      </c>
      <c r="E18" s="41" t="n">
        <v>0.9</v>
      </c>
      <c r="F18" s="41" t="n">
        <v>0.95</v>
      </c>
      <c r="G18" s="41" t="n">
        <v>1.05</v>
      </c>
      <c r="H18" s="41" t="n">
        <v>1.18</v>
      </c>
      <c r="I18" s="41" t="n">
        <v>1.18</v>
      </c>
      <c r="J18" s="41" t="n">
        <v>0.95</v>
      </c>
      <c r="K18" s="41" t="n">
        <v>0.9</v>
      </c>
      <c r="L18" s="41" t="n">
        <v>1</v>
      </c>
      <c r="M18" s="41" t="n">
        <v>1.1</v>
      </c>
      <c r="O18" s="42" t="n">
        <f aca="false">AVERAGE(B18:M18)</f>
        <v>1.0425</v>
      </c>
      <c r="P18" s="43" t="s">
        <v>66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19" t="s">
        <v>67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customFormat="false" ht="18" hidden="false" customHeight="true" outlineLevel="0" collapsed="false">
      <c r="A21" s="20" t="s">
        <v>68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52</v>
      </c>
      <c r="H21" s="21" t="s">
        <v>53</v>
      </c>
      <c r="I21" s="21" t="s">
        <v>54</v>
      </c>
      <c r="J21" s="21" t="s">
        <v>55</v>
      </c>
      <c r="K21" s="21" t="s">
        <v>56</v>
      </c>
      <c r="L21" s="21" t="s">
        <v>57</v>
      </c>
      <c r="M21" s="21" t="s">
        <v>58</v>
      </c>
      <c r="N21" s="7" t="s">
        <v>69</v>
      </c>
      <c r="O21" s="7" t="s">
        <v>70</v>
      </c>
    </row>
    <row r="22" customFormat="false" ht="16.5" hidden="false" customHeight="true" outlineLevel="0" collapsed="false">
      <c r="A22" s="48" t="s">
        <v>71</v>
      </c>
      <c r="O22" s="49"/>
      <c r="P22" s="49"/>
    </row>
    <row r="23" customFormat="false" ht="16.5" hidden="false" customHeight="true" outlineLevel="0" collapsed="false">
      <c r="A23" s="11" t="s">
        <v>72</v>
      </c>
      <c r="B23" s="50" t="n">
        <f aca="false">$B$4*B$16*0.25</f>
        <v>22140</v>
      </c>
      <c r="C23" s="50" t="n">
        <f aca="false">$B$4*C$16*0.25</f>
        <v>27675</v>
      </c>
      <c r="D23" s="50" t="n">
        <f aca="false">$B$4*D$16*0.25</f>
        <v>18040</v>
      </c>
      <c r="E23" s="50" t="n">
        <f aca="false">$B$4*E$16*0.25</f>
        <v>16810</v>
      </c>
      <c r="F23" s="50" t="n">
        <f aca="false">$B$4*F$16*0.25</f>
        <v>18040</v>
      </c>
      <c r="G23" s="50" t="n">
        <f aca="false">$B$4*G$16*0.25</f>
        <v>17425</v>
      </c>
      <c r="H23" s="50" t="n">
        <f aca="false">$B$4*H$16*0.25</f>
        <v>18040</v>
      </c>
      <c r="I23" s="50" t="n">
        <f aca="false">$B$4*I$16*0.25</f>
        <v>18450</v>
      </c>
      <c r="J23" s="50" t="n">
        <f aca="false">$B$4*J$16*0.25</f>
        <v>22140</v>
      </c>
      <c r="K23" s="50" t="n">
        <f aca="false">$B$4*K$16*0.25</f>
        <v>22960</v>
      </c>
      <c r="L23" s="50" t="n">
        <f aca="false">$B$4*L$16*0.25</f>
        <v>22550</v>
      </c>
      <c r="M23" s="50" t="n">
        <f aca="false">$B$4*M$16*0.25</f>
        <v>21730</v>
      </c>
      <c r="O23" s="50" t="n">
        <f aca="false">SUM(B23:M23)</f>
        <v>246000</v>
      </c>
      <c r="P23" s="25" t="n">
        <f aca="false">IF(O26=0,0,O23/O26)</f>
        <v>0.25</v>
      </c>
    </row>
    <row r="24" customFormat="false" ht="16.5" hidden="false" customHeight="true" outlineLevel="0" collapsed="false">
      <c r="A24" s="16" t="s">
        <v>73</v>
      </c>
      <c r="B24" s="51" t="n">
        <f aca="false">$B$4*B$16*0.65</f>
        <v>57564</v>
      </c>
      <c r="C24" s="51" t="n">
        <f aca="false">$B$4*C$16*0.65</f>
        <v>71955</v>
      </c>
      <c r="D24" s="51" t="n">
        <f aca="false">$B$4*D$16*0.65</f>
        <v>46904</v>
      </c>
      <c r="E24" s="51" t="n">
        <f aca="false">$B$4*E$16*0.65</f>
        <v>43706</v>
      </c>
      <c r="F24" s="51" t="n">
        <f aca="false">$B$4*F$16*0.65</f>
        <v>46904</v>
      </c>
      <c r="G24" s="51" t="n">
        <f aca="false">$B$4*G$16*0.65</f>
        <v>45305</v>
      </c>
      <c r="H24" s="51" t="n">
        <f aca="false">$B$4*H$16*0.65</f>
        <v>46904</v>
      </c>
      <c r="I24" s="51" t="n">
        <f aca="false">$B$4*I$16*0.65</f>
        <v>47970</v>
      </c>
      <c r="J24" s="51" t="n">
        <f aca="false">$B$4*J$16*0.65</f>
        <v>57564</v>
      </c>
      <c r="K24" s="51" t="n">
        <f aca="false">$B$4*K$16*0.65</f>
        <v>59696</v>
      </c>
      <c r="L24" s="51" t="n">
        <f aca="false">$B$4*L$16*0.65</f>
        <v>58630</v>
      </c>
      <c r="M24" s="51" t="n">
        <f aca="false">$B$4*M$16*0.65</f>
        <v>56498</v>
      </c>
      <c r="O24" s="51" t="n">
        <f aca="false">SUM(B24:M24)</f>
        <v>639600</v>
      </c>
      <c r="P24" s="23" t="n">
        <f aca="false">IF(O26=0,0,O24/O26)</f>
        <v>0.65</v>
      </c>
    </row>
    <row r="25" customFormat="false" ht="16.5" hidden="false" customHeight="true" outlineLevel="0" collapsed="false">
      <c r="A25" s="11" t="s">
        <v>74</v>
      </c>
      <c r="B25" s="50" t="n">
        <f aca="false">$B$4*B$16*0.1</f>
        <v>8856</v>
      </c>
      <c r="C25" s="50" t="n">
        <f aca="false">$B$4*C$16*0.1</f>
        <v>11070</v>
      </c>
      <c r="D25" s="50" t="n">
        <f aca="false">$B$4*D$16*0.1</f>
        <v>7216</v>
      </c>
      <c r="E25" s="50" t="n">
        <f aca="false">$B$4*E$16*0.1</f>
        <v>6724</v>
      </c>
      <c r="F25" s="50" t="n">
        <f aca="false">$B$4*F$16*0.1</f>
        <v>7216</v>
      </c>
      <c r="G25" s="50" t="n">
        <f aca="false">$B$4*G$16*0.1</f>
        <v>6970</v>
      </c>
      <c r="H25" s="50" t="n">
        <f aca="false">$B$4*H$16*0.1</f>
        <v>7216</v>
      </c>
      <c r="I25" s="50" t="n">
        <f aca="false">$B$4*I$16*0.1</f>
        <v>7380</v>
      </c>
      <c r="J25" s="50" t="n">
        <f aca="false">$B$4*J$16*0.1</f>
        <v>8856</v>
      </c>
      <c r="K25" s="50" t="n">
        <f aca="false">$B$4*K$16*0.1</f>
        <v>9184</v>
      </c>
      <c r="L25" s="50" t="n">
        <f aca="false">$B$4*L$16*0.1</f>
        <v>9020</v>
      </c>
      <c r="M25" s="50" t="n">
        <f aca="false">$B$4*M$16*0.1</f>
        <v>8692</v>
      </c>
      <c r="O25" s="50" t="n">
        <f aca="false">SUM(B25:M25)</f>
        <v>98400</v>
      </c>
      <c r="P25" s="25" t="n">
        <f aca="false">IF(O26=0,0,O25/O26)</f>
        <v>0.1</v>
      </c>
    </row>
    <row r="26" customFormat="false" ht="16.5" hidden="false" customHeight="true" outlineLevel="0" collapsed="false">
      <c r="A26" s="52" t="s">
        <v>75</v>
      </c>
      <c r="B26" s="53" t="n">
        <f aca="false">B23+B24+B25</f>
        <v>88560</v>
      </c>
      <c r="C26" s="53" t="n">
        <f aca="false">C23+C24+C25</f>
        <v>110700</v>
      </c>
      <c r="D26" s="53" t="n">
        <f aca="false">D23+D24+D25</f>
        <v>72160</v>
      </c>
      <c r="E26" s="53" t="n">
        <f aca="false">E23+E24+E25</f>
        <v>67240</v>
      </c>
      <c r="F26" s="53" t="n">
        <f aca="false">F23+F24+F25</f>
        <v>72160</v>
      </c>
      <c r="G26" s="53" t="n">
        <f aca="false">G23+G24+G25</f>
        <v>69700</v>
      </c>
      <c r="H26" s="53" t="n">
        <f aca="false">H23+H24+H25</f>
        <v>72160</v>
      </c>
      <c r="I26" s="53" t="n">
        <f aca="false">I23+I24+I25</f>
        <v>73800</v>
      </c>
      <c r="J26" s="53" t="n">
        <f aca="false">J23+J24+J25</f>
        <v>88560</v>
      </c>
      <c r="K26" s="53" t="n">
        <f aca="false">K23+K24+K25</f>
        <v>91840</v>
      </c>
      <c r="L26" s="53" t="n">
        <f aca="false">L23+L24+L25</f>
        <v>90200</v>
      </c>
      <c r="M26" s="53" t="n">
        <f aca="false">M23+M24+M25</f>
        <v>86920</v>
      </c>
      <c r="O26" s="54" t="n">
        <f aca="false">SUM(B26:M26)</f>
        <v>984000</v>
      </c>
      <c r="P26" s="55" t="n">
        <f aca="false">IF(O26=0,0,O26/O26)</f>
        <v>1</v>
      </c>
    </row>
    <row r="27" customFormat="false" ht="6" hidden="false" customHeight="true" outlineLevel="0" collapsed="false"/>
    <row r="28" customFormat="false" ht="16.5" hidden="false" customHeight="true" outlineLevel="0" collapsed="false">
      <c r="A28" s="48" t="s">
        <v>76</v>
      </c>
      <c r="O28" s="49"/>
      <c r="P28" s="49"/>
    </row>
    <row r="29" customFormat="false" ht="16.5" hidden="false" customHeight="true" outlineLevel="0" collapsed="false">
      <c r="A29" s="11" t="s">
        <v>77</v>
      </c>
      <c r="B29" s="50" t="n">
        <f aca="false">B26*($B$5+B$17)</f>
        <v>29667.6</v>
      </c>
      <c r="C29" s="50" t="n">
        <f aca="false">C26*($B$5+C$17)</f>
        <v>40405.5</v>
      </c>
      <c r="D29" s="50" t="n">
        <f aca="false">D26*($B$5+D$17)</f>
        <v>23812.8</v>
      </c>
      <c r="E29" s="50" t="n">
        <f aca="false">E26*($B$5+E$17)</f>
        <v>22189.2</v>
      </c>
      <c r="F29" s="50" t="n">
        <f aca="false">F26*($B$5+F$17)</f>
        <v>23812.8</v>
      </c>
      <c r="G29" s="50" t="n">
        <f aca="false">G26*($B$5+G$17)</f>
        <v>23001</v>
      </c>
      <c r="H29" s="50" t="n">
        <f aca="false">H26*($B$5+H$17)</f>
        <v>23812.8</v>
      </c>
      <c r="I29" s="50" t="n">
        <f aca="false">I26*($B$5+I$17)</f>
        <v>24354</v>
      </c>
      <c r="J29" s="50" t="n">
        <f aca="false">J26*($B$5+J$17)</f>
        <v>30110.4</v>
      </c>
      <c r="K29" s="50" t="n">
        <f aca="false">K26*($B$5+K$17)</f>
        <v>31684.8</v>
      </c>
      <c r="L29" s="50" t="n">
        <f aca="false">L26*($B$5+L$17)</f>
        <v>31119</v>
      </c>
      <c r="M29" s="50" t="n">
        <f aca="false">M26*($B$5+M$17)</f>
        <v>29118.2</v>
      </c>
      <c r="O29" s="50" t="n">
        <f aca="false">SUM(B29:M29)</f>
        <v>333088.1</v>
      </c>
      <c r="P29" s="25" t="n">
        <f aca="false">IF(O26=0,0,O29/O26)</f>
        <v>0.338504166666667</v>
      </c>
    </row>
    <row r="30" customFormat="false" ht="16.5" hidden="false" customHeight="true" outlineLevel="0" collapsed="false">
      <c r="A30" s="16" t="s">
        <v>78</v>
      </c>
      <c r="B30" s="51" t="n">
        <f aca="false">B26*$B$6</f>
        <v>1771.2</v>
      </c>
      <c r="C30" s="51" t="n">
        <f aca="false">C26*$B$6</f>
        <v>2214</v>
      </c>
      <c r="D30" s="51" t="n">
        <f aca="false">D26*$B$6</f>
        <v>1443.2</v>
      </c>
      <c r="E30" s="51" t="n">
        <f aca="false">E26*$B$6</f>
        <v>1344.8</v>
      </c>
      <c r="F30" s="51" t="n">
        <f aca="false">F26*$B$6</f>
        <v>1443.2</v>
      </c>
      <c r="G30" s="51" t="n">
        <f aca="false">G26*$B$6</f>
        <v>1394</v>
      </c>
      <c r="H30" s="51" t="n">
        <f aca="false">H26*$B$6</f>
        <v>1443.2</v>
      </c>
      <c r="I30" s="51" t="n">
        <f aca="false">I26*$B$6</f>
        <v>1476</v>
      </c>
      <c r="J30" s="51" t="n">
        <f aca="false">J26*$B$6</f>
        <v>1771.2</v>
      </c>
      <c r="K30" s="51" t="n">
        <f aca="false">K26*$B$6</f>
        <v>1836.8</v>
      </c>
      <c r="L30" s="51" t="n">
        <f aca="false">L26*$B$6</f>
        <v>1804</v>
      </c>
      <c r="M30" s="51" t="n">
        <f aca="false">M26*$B$6</f>
        <v>1738.4</v>
      </c>
      <c r="O30" s="51" t="n">
        <f aca="false">SUM(B30:M30)</f>
        <v>19680</v>
      </c>
      <c r="P30" s="23" t="n">
        <f aca="false">IF(O26=0,0,O30/O26)</f>
        <v>0.02</v>
      </c>
    </row>
    <row r="31" customFormat="false" ht="16.5" hidden="false" customHeight="true" outlineLevel="0" collapsed="false">
      <c r="A31" s="56" t="s">
        <v>8</v>
      </c>
      <c r="B31" s="53" t="n">
        <f aca="false">B29+B30</f>
        <v>31438.8</v>
      </c>
      <c r="C31" s="53" t="n">
        <f aca="false">C29+C30</f>
        <v>42619.5</v>
      </c>
      <c r="D31" s="53" t="n">
        <f aca="false">D29+D30</f>
        <v>25256</v>
      </c>
      <c r="E31" s="53" t="n">
        <f aca="false">E29+E30</f>
        <v>23534</v>
      </c>
      <c r="F31" s="53" t="n">
        <f aca="false">F29+F30</f>
        <v>25256</v>
      </c>
      <c r="G31" s="53" t="n">
        <f aca="false">G29+G30</f>
        <v>24395</v>
      </c>
      <c r="H31" s="53" t="n">
        <f aca="false">H29+H30</f>
        <v>25256</v>
      </c>
      <c r="I31" s="53" t="n">
        <f aca="false">I29+I30</f>
        <v>25830</v>
      </c>
      <c r="J31" s="53" t="n">
        <f aca="false">J29+J30</f>
        <v>31881.6</v>
      </c>
      <c r="K31" s="53" t="n">
        <f aca="false">K29+K30</f>
        <v>33521.6</v>
      </c>
      <c r="L31" s="53" t="n">
        <f aca="false">L29+L30</f>
        <v>32923</v>
      </c>
      <c r="M31" s="53" t="n">
        <f aca="false">M29+M30</f>
        <v>30856.6</v>
      </c>
      <c r="O31" s="54" t="n">
        <f aca="false">SUM(B31:M31)</f>
        <v>352768.1</v>
      </c>
      <c r="P31" s="55" t="n">
        <f aca="false">IF(O26=0,0,O31/O26)</f>
        <v>0.358504166666667</v>
      </c>
    </row>
    <row r="32" customFormat="false" ht="6" hidden="false" customHeight="true" outlineLevel="0" collapsed="false"/>
    <row r="33" customFormat="false" ht="16.5" hidden="false" customHeight="true" outlineLevel="0" collapsed="false">
      <c r="A33" s="56" t="s">
        <v>79</v>
      </c>
      <c r="B33" s="53" t="n">
        <f aca="false">B26-B31</f>
        <v>57121.2</v>
      </c>
      <c r="C33" s="53" t="n">
        <f aca="false">C26-C31</f>
        <v>68080.5</v>
      </c>
      <c r="D33" s="53" t="n">
        <f aca="false">D26-D31</f>
        <v>46904</v>
      </c>
      <c r="E33" s="53" t="n">
        <f aca="false">E26-E31</f>
        <v>43706</v>
      </c>
      <c r="F33" s="53" t="n">
        <f aca="false">F26-F31</f>
        <v>46904</v>
      </c>
      <c r="G33" s="53" t="n">
        <f aca="false">G26-G31</f>
        <v>45305</v>
      </c>
      <c r="H33" s="53" t="n">
        <f aca="false">H26-H31</f>
        <v>46904</v>
      </c>
      <c r="I33" s="53" t="n">
        <f aca="false">I26-I31</f>
        <v>47970</v>
      </c>
      <c r="J33" s="53" t="n">
        <f aca="false">J26-J31</f>
        <v>56678.4</v>
      </c>
      <c r="K33" s="53" t="n">
        <f aca="false">K26-K31</f>
        <v>58318.4</v>
      </c>
      <c r="L33" s="53" t="n">
        <f aca="false">L26-L31</f>
        <v>57277</v>
      </c>
      <c r="M33" s="53" t="n">
        <f aca="false">M26-M31</f>
        <v>56063.4</v>
      </c>
      <c r="O33" s="54" t="n">
        <f aca="false">SUM(B33:M33)</f>
        <v>631231.9</v>
      </c>
      <c r="P33" s="55" t="n">
        <f aca="false">IF(O26=0,0,O33/O26)</f>
        <v>0.641495833333333</v>
      </c>
    </row>
    <row r="34" customFormat="false" ht="16.5" hidden="false" customHeight="true" outlineLevel="0" collapsed="false">
      <c r="A34" s="16" t="s">
        <v>10</v>
      </c>
      <c r="B34" s="23" t="n">
        <f aca="false">IF(B26=0,0,B33/B26)</f>
        <v>0.645</v>
      </c>
      <c r="C34" s="23" t="n">
        <f aca="false">IF(C26=0,0,C33/C26)</f>
        <v>0.615</v>
      </c>
      <c r="D34" s="23" t="n">
        <f aca="false">IF(D26=0,0,D33/D26)</f>
        <v>0.65</v>
      </c>
      <c r="E34" s="23" t="n">
        <f aca="false">IF(E26=0,0,E33/E26)</f>
        <v>0.65</v>
      </c>
      <c r="F34" s="23" t="n">
        <f aca="false">IF(F26=0,0,F33/F26)</f>
        <v>0.65</v>
      </c>
      <c r="G34" s="23" t="n">
        <f aca="false">IF(G26=0,0,G33/G26)</f>
        <v>0.65</v>
      </c>
      <c r="H34" s="23" t="n">
        <f aca="false">IF(H26=0,0,H33/H26)</f>
        <v>0.65</v>
      </c>
      <c r="I34" s="23" t="n">
        <f aca="false">IF(I26=0,0,I33/I26)</f>
        <v>0.65</v>
      </c>
      <c r="J34" s="23" t="n">
        <f aca="false">IF(J26=0,0,J33/J26)</f>
        <v>0.64</v>
      </c>
      <c r="K34" s="23" t="n">
        <f aca="false">IF(K26=0,0,K33/K26)</f>
        <v>0.635</v>
      </c>
      <c r="L34" s="23" t="n">
        <f aca="false">IF(L26=0,0,L33/L26)</f>
        <v>0.635</v>
      </c>
      <c r="M34" s="23" t="n">
        <f aca="false">IF(M26=0,0,M33/M26)</f>
        <v>0.645</v>
      </c>
      <c r="O34" s="23" t="n">
        <f aca="false">IF(O26=0,0,O33/O26)</f>
        <v>0.641495833333333</v>
      </c>
      <c r="P34" s="23" t="n">
        <f aca="false">IF(O26=0,0,O33/O26)</f>
        <v>0.641495833333333</v>
      </c>
    </row>
    <row r="35" customFormat="false" ht="6" hidden="false" customHeight="true" outlineLevel="0" collapsed="false"/>
    <row r="36" customFormat="false" ht="16.5" hidden="false" customHeight="true" outlineLevel="0" collapsed="false">
      <c r="A36" s="48" t="s">
        <v>80</v>
      </c>
      <c r="O36" s="49"/>
      <c r="P36" s="49"/>
    </row>
    <row r="37" customFormat="false" ht="16.5" hidden="false" customHeight="true" outlineLevel="0" collapsed="false">
      <c r="A37" s="11" t="s">
        <v>81</v>
      </c>
      <c r="B37" s="50" t="n">
        <f aca="false">B26*$B$7</f>
        <v>18597.6</v>
      </c>
      <c r="C37" s="50" t="n">
        <f aca="false">C26*$B$7</f>
        <v>23247</v>
      </c>
      <c r="D37" s="50" t="n">
        <f aca="false">D26*$B$7</f>
        <v>15153.6</v>
      </c>
      <c r="E37" s="50" t="n">
        <f aca="false">E26*$B$7</f>
        <v>14120.4</v>
      </c>
      <c r="F37" s="50" t="n">
        <f aca="false">F26*$B$7</f>
        <v>15153.6</v>
      </c>
      <c r="G37" s="50" t="n">
        <f aca="false">G26*$B$7</f>
        <v>14637</v>
      </c>
      <c r="H37" s="50" t="n">
        <f aca="false">H26*$B$7</f>
        <v>15153.6</v>
      </c>
      <c r="I37" s="50" t="n">
        <f aca="false">I26*$B$7</f>
        <v>15498</v>
      </c>
      <c r="J37" s="50" t="n">
        <f aca="false">J26*$B$7</f>
        <v>18597.6</v>
      </c>
      <c r="K37" s="50" t="n">
        <f aca="false">K26*$B$7</f>
        <v>19286.4</v>
      </c>
      <c r="L37" s="50" t="n">
        <f aca="false">L26*$B$7</f>
        <v>18942</v>
      </c>
      <c r="M37" s="50" t="n">
        <f aca="false">M26*$B$7</f>
        <v>18253.2</v>
      </c>
      <c r="O37" s="50" t="n">
        <f aca="false">SUM(B37:M37)</f>
        <v>206640</v>
      </c>
      <c r="P37" s="25" t="n">
        <f aca="false">IF(O26=0,0,O37/O26)</f>
        <v>0.21</v>
      </c>
    </row>
    <row r="38" customFormat="false" ht="16.5" hidden="false" customHeight="true" outlineLevel="0" collapsed="false">
      <c r="A38" s="16" t="s">
        <v>82</v>
      </c>
      <c r="B38" s="17" t="n">
        <f aca="false">$B$8</f>
        <v>3200</v>
      </c>
      <c r="C38" s="17" t="n">
        <f aca="false">$B$8</f>
        <v>3200</v>
      </c>
      <c r="D38" s="17" t="n">
        <f aca="false">$B$8</f>
        <v>3200</v>
      </c>
      <c r="E38" s="17" t="n">
        <f aca="false">$B$8</f>
        <v>3200</v>
      </c>
      <c r="F38" s="17" t="n">
        <f aca="false">$B$8</f>
        <v>3200</v>
      </c>
      <c r="G38" s="17" t="n">
        <f aca="false">$B$8</f>
        <v>3200</v>
      </c>
      <c r="H38" s="17" t="n">
        <f aca="false">$B$8</f>
        <v>3200</v>
      </c>
      <c r="I38" s="17" t="n">
        <f aca="false">$B$8</f>
        <v>3200</v>
      </c>
      <c r="J38" s="17" t="n">
        <f aca="false">$B$8</f>
        <v>3200</v>
      </c>
      <c r="K38" s="17" t="n">
        <f aca="false">$B$8</f>
        <v>3200</v>
      </c>
      <c r="L38" s="17" t="n">
        <f aca="false">$B$8</f>
        <v>3200</v>
      </c>
      <c r="M38" s="17" t="n">
        <f aca="false">$B$8</f>
        <v>3200</v>
      </c>
      <c r="O38" s="51" t="n">
        <f aca="false">SUM(B38:M38)</f>
        <v>38400</v>
      </c>
      <c r="P38" s="23" t="n">
        <f aca="false">IF(O26=0,0,O38/O26)</f>
        <v>0.0390243902439024</v>
      </c>
    </row>
    <row r="39" customFormat="false" ht="16.5" hidden="false" customHeight="true" outlineLevel="0" collapsed="false">
      <c r="A39" s="11" t="s">
        <v>83</v>
      </c>
      <c r="B39" s="12" t="n">
        <f aca="false">$B$9</f>
        <v>7000</v>
      </c>
      <c r="C39" s="12" t="n">
        <f aca="false">$B$9</f>
        <v>7000</v>
      </c>
      <c r="D39" s="12" t="n">
        <f aca="false">$B$9</f>
        <v>7000</v>
      </c>
      <c r="E39" s="12" t="n">
        <f aca="false">$B$9</f>
        <v>7000</v>
      </c>
      <c r="F39" s="12" t="n">
        <f aca="false">$B$9</f>
        <v>7000</v>
      </c>
      <c r="G39" s="12" t="n">
        <f aca="false">$B$9</f>
        <v>7000</v>
      </c>
      <c r="H39" s="12" t="n">
        <f aca="false">$B$9</f>
        <v>7000</v>
      </c>
      <c r="I39" s="12" t="n">
        <f aca="false">$B$9</f>
        <v>7000</v>
      </c>
      <c r="J39" s="12" t="n">
        <f aca="false">$B$9</f>
        <v>7000</v>
      </c>
      <c r="K39" s="12" t="n">
        <f aca="false">$B$9</f>
        <v>7000</v>
      </c>
      <c r="L39" s="12" t="n">
        <f aca="false">$B$9</f>
        <v>7000</v>
      </c>
      <c r="M39" s="12" t="n">
        <f aca="false">$B$9</f>
        <v>7000</v>
      </c>
      <c r="O39" s="50" t="n">
        <f aca="false">SUM(B39:M39)</f>
        <v>84000</v>
      </c>
      <c r="P39" s="25" t="n">
        <f aca="false">IF(O26=0,0,O39/O26)</f>
        <v>0.0853658536585366</v>
      </c>
    </row>
    <row r="40" customFormat="false" ht="16.5" hidden="false" customHeight="true" outlineLevel="0" collapsed="false">
      <c r="A40" s="16" t="s">
        <v>84</v>
      </c>
      <c r="B40" s="51" t="n">
        <f aca="false">$B$10*B$18</f>
        <v>1150</v>
      </c>
      <c r="C40" s="51" t="n">
        <f aca="false">$B$10*C$18</f>
        <v>1150</v>
      </c>
      <c r="D40" s="51" t="n">
        <f aca="false">$B$10*D$18</f>
        <v>1000</v>
      </c>
      <c r="E40" s="51" t="n">
        <f aca="false">$B$10*E$18</f>
        <v>900</v>
      </c>
      <c r="F40" s="51" t="n">
        <f aca="false">$B$10*F$18</f>
        <v>950</v>
      </c>
      <c r="G40" s="51" t="n">
        <f aca="false">$B$10*G$18</f>
        <v>1050</v>
      </c>
      <c r="H40" s="51" t="n">
        <f aca="false">$B$10*H$18</f>
        <v>1180</v>
      </c>
      <c r="I40" s="51" t="n">
        <f aca="false">$B$10*I$18</f>
        <v>1180</v>
      </c>
      <c r="J40" s="51" t="n">
        <f aca="false">$B$10*J$18</f>
        <v>950</v>
      </c>
      <c r="K40" s="51" t="n">
        <f aca="false">$B$10*K$18</f>
        <v>900</v>
      </c>
      <c r="L40" s="51" t="n">
        <f aca="false">$B$10*L$18</f>
        <v>1000</v>
      </c>
      <c r="M40" s="51" t="n">
        <f aca="false">$B$10*M$18</f>
        <v>1100</v>
      </c>
      <c r="O40" s="51" t="n">
        <f aca="false">SUM(B40:M40)</f>
        <v>12510</v>
      </c>
      <c r="P40" s="23" t="n">
        <f aca="false">IF(O26=0,0,O40/O26)</f>
        <v>0.0127134146341463</v>
      </c>
    </row>
    <row r="41" customFormat="false" ht="16.5" hidden="false" customHeight="true" outlineLevel="0" collapsed="false">
      <c r="A41" s="11" t="s">
        <v>85</v>
      </c>
      <c r="B41" s="50" t="n">
        <f aca="false">B26*$B$11</f>
        <v>3542.4</v>
      </c>
      <c r="C41" s="50" t="n">
        <f aca="false">C26*$B$11</f>
        <v>4428</v>
      </c>
      <c r="D41" s="50" t="n">
        <f aca="false">D26*$B$11</f>
        <v>2886.4</v>
      </c>
      <c r="E41" s="50" t="n">
        <f aca="false">E26*$B$11</f>
        <v>2689.6</v>
      </c>
      <c r="F41" s="50" t="n">
        <f aca="false">F26*$B$11</f>
        <v>2886.4</v>
      </c>
      <c r="G41" s="50" t="n">
        <f aca="false">G26*$B$11</f>
        <v>2788</v>
      </c>
      <c r="H41" s="50" t="n">
        <f aca="false">H26*$B$11</f>
        <v>2886.4</v>
      </c>
      <c r="I41" s="50" t="n">
        <f aca="false">I26*$B$11</f>
        <v>2952</v>
      </c>
      <c r="J41" s="50" t="n">
        <f aca="false">J26*$B$11</f>
        <v>3542.4</v>
      </c>
      <c r="K41" s="50" t="n">
        <f aca="false">K26*$B$11</f>
        <v>3673.6</v>
      </c>
      <c r="L41" s="50" t="n">
        <f aca="false">L26*$B$11</f>
        <v>3608</v>
      </c>
      <c r="M41" s="50" t="n">
        <f aca="false">M26*$B$11</f>
        <v>3476.8</v>
      </c>
      <c r="O41" s="50" t="n">
        <f aca="false">SUM(B41:M41)</f>
        <v>39360</v>
      </c>
      <c r="P41" s="25" t="n">
        <f aca="false">IF(O26=0,0,O41/O26)</f>
        <v>0.04</v>
      </c>
    </row>
    <row r="42" customFormat="false" ht="16.5" hidden="false" customHeight="true" outlineLevel="0" collapsed="false">
      <c r="A42" s="16" t="s">
        <v>86</v>
      </c>
      <c r="B42" s="17" t="n">
        <f aca="false">$B$12</f>
        <v>450</v>
      </c>
      <c r="C42" s="17" t="n">
        <f aca="false">$B$12</f>
        <v>450</v>
      </c>
      <c r="D42" s="17" t="n">
        <f aca="false">$B$12</f>
        <v>450</v>
      </c>
      <c r="E42" s="17" t="n">
        <f aca="false">$B$12</f>
        <v>450</v>
      </c>
      <c r="F42" s="17" t="n">
        <f aca="false">$B$12</f>
        <v>450</v>
      </c>
      <c r="G42" s="17" t="n">
        <f aca="false">$B$12</f>
        <v>450</v>
      </c>
      <c r="H42" s="17" t="n">
        <f aca="false">$B$12</f>
        <v>450</v>
      </c>
      <c r="I42" s="17" t="n">
        <f aca="false">$B$12</f>
        <v>450</v>
      </c>
      <c r="J42" s="17" t="n">
        <f aca="false">$B$12</f>
        <v>450</v>
      </c>
      <c r="K42" s="17" t="n">
        <f aca="false">$B$12</f>
        <v>450</v>
      </c>
      <c r="L42" s="17" t="n">
        <f aca="false">$B$12</f>
        <v>450</v>
      </c>
      <c r="M42" s="17" t="n">
        <f aca="false">$B$12</f>
        <v>450</v>
      </c>
      <c r="O42" s="51" t="n">
        <f aca="false">SUM(B42:M42)</f>
        <v>5400</v>
      </c>
      <c r="P42" s="23" t="n">
        <f aca="false">IF(O26=0,0,O42/O26)</f>
        <v>0.00548780487804878</v>
      </c>
    </row>
    <row r="43" customFormat="false" ht="16.5" hidden="false" customHeight="true" outlineLevel="0" collapsed="false">
      <c r="A43" s="56" t="s">
        <v>11</v>
      </c>
      <c r="B43" s="53" t="n">
        <f aca="false">B37+B38+B39+B40+B41+B42</f>
        <v>33940</v>
      </c>
      <c r="C43" s="53" t="n">
        <f aca="false">C37+C38+C39+C40+C41+C42</f>
        <v>39475</v>
      </c>
      <c r="D43" s="53" t="n">
        <f aca="false">D37+D38+D39+D40+D41+D42</f>
        <v>29690</v>
      </c>
      <c r="E43" s="53" t="n">
        <f aca="false">E37+E38+E39+E40+E41+E42</f>
        <v>28360</v>
      </c>
      <c r="F43" s="53" t="n">
        <f aca="false">F37+F38+F39+F40+F41+F42</f>
        <v>29640</v>
      </c>
      <c r="G43" s="53" t="n">
        <f aca="false">G37+G38+G39+G40+G41+G42</f>
        <v>29125</v>
      </c>
      <c r="H43" s="53" t="n">
        <f aca="false">H37+H38+H39+H40+H41+H42</f>
        <v>29870</v>
      </c>
      <c r="I43" s="53" t="n">
        <f aca="false">I37+I38+I39+I40+I41+I42</f>
        <v>30280</v>
      </c>
      <c r="J43" s="53" t="n">
        <f aca="false">J37+J38+J39+J40+J41+J42</f>
        <v>33740</v>
      </c>
      <c r="K43" s="53" t="n">
        <f aca="false">K37+K38+K39+K40+K41+K42</f>
        <v>34510</v>
      </c>
      <c r="L43" s="53" t="n">
        <f aca="false">L37+L38+L39+L40+L41+L42</f>
        <v>34200</v>
      </c>
      <c r="M43" s="53" t="n">
        <f aca="false">M37+M38+M39+M40+M41+M42</f>
        <v>33480</v>
      </c>
      <c r="O43" s="54" t="n">
        <f aca="false">SUM(B43:M43)</f>
        <v>386310</v>
      </c>
      <c r="P43" s="55" t="n">
        <f aca="false">IF(O26=0,0,O43/O26)</f>
        <v>0.392591463414634</v>
      </c>
    </row>
    <row r="44" customFormat="false" ht="6" hidden="false" customHeight="true" outlineLevel="0" collapsed="false"/>
    <row r="45" customFormat="false" ht="16.5" hidden="false" customHeight="true" outlineLevel="0" collapsed="false">
      <c r="A45" s="56" t="s">
        <v>87</v>
      </c>
      <c r="B45" s="53" t="n">
        <f aca="false">B33-B43</f>
        <v>23181.2</v>
      </c>
      <c r="C45" s="53" t="n">
        <f aca="false">C33-C43</f>
        <v>28605.5</v>
      </c>
      <c r="D45" s="53" t="n">
        <f aca="false">D33-D43</f>
        <v>17214</v>
      </c>
      <c r="E45" s="53" t="n">
        <f aca="false">E33-E43</f>
        <v>15346</v>
      </c>
      <c r="F45" s="53" t="n">
        <f aca="false">F33-F43</f>
        <v>17264</v>
      </c>
      <c r="G45" s="53" t="n">
        <f aca="false">G33-G43</f>
        <v>16180</v>
      </c>
      <c r="H45" s="53" t="n">
        <f aca="false">H33-H43</f>
        <v>17034</v>
      </c>
      <c r="I45" s="53" t="n">
        <f aca="false">I33-I43</f>
        <v>17690</v>
      </c>
      <c r="J45" s="53" t="n">
        <f aca="false">J33-J43</f>
        <v>22938.4</v>
      </c>
      <c r="K45" s="53" t="n">
        <f aca="false">K33-K43</f>
        <v>23808.4</v>
      </c>
      <c r="L45" s="53" t="n">
        <f aca="false">L33-L43</f>
        <v>23077</v>
      </c>
      <c r="M45" s="53" t="n">
        <f aca="false">M33-M43</f>
        <v>22583.4</v>
      </c>
      <c r="O45" s="54" t="n">
        <f aca="false">SUM(B45:M45)</f>
        <v>244921.9</v>
      </c>
      <c r="P45" s="55" t="n">
        <f aca="false">IF(O26=0,0,O45/O26)</f>
        <v>0.248904369918699</v>
      </c>
    </row>
    <row r="46" customFormat="false" ht="16.5" hidden="false" customHeight="true" outlineLevel="0" collapsed="false">
      <c r="A46" s="16" t="s">
        <v>88</v>
      </c>
      <c r="B46" s="23" t="n">
        <f aca="false">IF(B26=0,0,B45/B26)</f>
        <v>0.261757000903342</v>
      </c>
      <c r="C46" s="23" t="n">
        <f aca="false">IF(C26=0,0,C45/C26)</f>
        <v>0.258405600722674</v>
      </c>
      <c r="D46" s="23" t="n">
        <f aca="false">IF(D26=0,0,D45/D26)</f>
        <v>0.238553215077605</v>
      </c>
      <c r="E46" s="23" t="n">
        <f aca="false">IF(E26=0,0,E45/E26)</f>
        <v>0.228227245687091</v>
      </c>
      <c r="F46" s="23" t="n">
        <f aca="false">IF(F26=0,0,F45/F26)</f>
        <v>0.239246119733925</v>
      </c>
      <c r="G46" s="23" t="n">
        <f aca="false">IF(G26=0,0,G45/G26)</f>
        <v>0.232137733142037</v>
      </c>
      <c r="H46" s="23" t="n">
        <f aca="false">IF(H26=0,0,H45/H26)</f>
        <v>0.236058758314856</v>
      </c>
      <c r="I46" s="23" t="n">
        <f aca="false">IF(I26=0,0,I45/I26)</f>
        <v>0.23970189701897</v>
      </c>
      <c r="J46" s="23" t="n">
        <f aca="false">IF(J26=0,0,J45/J26)</f>
        <v>0.259015356820235</v>
      </c>
      <c r="K46" s="23" t="n">
        <f aca="false">IF(K26=0,0,K45/K26)</f>
        <v>0.259237804878049</v>
      </c>
      <c r="L46" s="23" t="n">
        <f aca="false">IF(L26=0,0,L45/L26)</f>
        <v>0.255842572062084</v>
      </c>
      <c r="M46" s="23" t="n">
        <f aca="false">IF(M26=0,0,M45/M26)</f>
        <v>0.259818223653935</v>
      </c>
      <c r="O46" s="23" t="n">
        <f aca="false">IF(O26=0,0,O45/O26)</f>
        <v>0.248904369918699</v>
      </c>
      <c r="P46" s="23" t="n">
        <f aca="false">IF(O26=0,0,O45/O26)</f>
        <v>0.248904369918699</v>
      </c>
    </row>
  </sheetData>
  <mergeCells count="5">
    <mergeCell ref="A1:P1"/>
    <mergeCell ref="A2:P2"/>
    <mergeCell ref="A3:P3"/>
    <mergeCell ref="A14:P14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14" min="2" style="0" width="10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27.75" hidden="false" customHeight="true" outlineLevel="0" collapsed="false">
      <c r="A1" s="58" t="s">
        <v>99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customFormat="false" ht="1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19" t="s">
        <v>36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customFormat="false" ht="16.5" hidden="false" customHeight="true" outlineLevel="0" collapsed="false">
      <c r="A4" s="16" t="s">
        <v>37</v>
      </c>
      <c r="B4" s="34" t="n">
        <v>80000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customFormat="false" ht="16.5" hidden="false" customHeight="true" outlineLevel="0" collapsed="false">
      <c r="A5" s="11" t="s">
        <v>38</v>
      </c>
      <c r="B5" s="36" t="n">
        <v>0.33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customFormat="false" ht="16.5" hidden="false" customHeight="true" outlineLevel="0" collapsed="false">
      <c r="A6" s="16" t="s">
        <v>39</v>
      </c>
      <c r="B6" s="36" t="n">
        <v>0.02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customFormat="false" ht="16.5" hidden="false" customHeight="true" outlineLevel="0" collapsed="false">
      <c r="A7" s="11" t="s">
        <v>40</v>
      </c>
      <c r="B7" s="36" t="n">
        <v>0.21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customFormat="false" ht="16.5" hidden="false" customHeight="true" outlineLevel="0" collapsed="false">
      <c r="A8" s="16" t="s">
        <v>41</v>
      </c>
      <c r="B8" s="34" t="n">
        <v>3200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customFormat="false" ht="16.5" hidden="false" customHeight="true" outlineLevel="0" collapsed="false">
      <c r="A9" s="11" t="s">
        <v>42</v>
      </c>
      <c r="B9" s="34" t="n">
        <v>7200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customFormat="false" ht="16.5" hidden="false" customHeight="true" outlineLevel="0" collapsed="false">
      <c r="A10" s="16" t="s">
        <v>43</v>
      </c>
      <c r="B10" s="34" t="n">
        <v>1000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customFormat="false" ht="16.5" hidden="false" customHeight="true" outlineLevel="0" collapsed="false">
      <c r="A11" s="11" t="s">
        <v>44</v>
      </c>
      <c r="B11" s="36" t="n">
        <v>0.04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customFormat="false" ht="16.5" hidden="false" customHeight="true" outlineLevel="0" collapsed="false">
      <c r="A12" s="16" t="s">
        <v>45</v>
      </c>
      <c r="B12" s="34" t="n">
        <v>450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customFormat="false" ht="7.5" hidden="false" customHeight="true" outlineLevel="0" collapsed="false"/>
    <row r="14" customFormat="false" ht="18" hidden="false" customHeight="true" outlineLevel="0" collapsed="false">
      <c r="A14" s="19" t="s">
        <v>46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customFormat="false" ht="15.75" hidden="false" customHeight="true" outlineLevel="0" collapsed="false">
      <c r="A15" s="38"/>
      <c r="B15" s="39" t="s">
        <v>47</v>
      </c>
      <c r="C15" s="39" t="s">
        <v>48</v>
      </c>
      <c r="D15" s="39" t="s">
        <v>49</v>
      </c>
      <c r="E15" s="39" t="s">
        <v>50</v>
      </c>
      <c r="F15" s="39" t="s">
        <v>51</v>
      </c>
      <c r="G15" s="39" t="s">
        <v>52</v>
      </c>
      <c r="H15" s="39" t="s">
        <v>53</v>
      </c>
      <c r="I15" s="39" t="s">
        <v>54</v>
      </c>
      <c r="J15" s="39" t="s">
        <v>55</v>
      </c>
      <c r="K15" s="39" t="s">
        <v>56</v>
      </c>
      <c r="L15" s="39" t="s">
        <v>57</v>
      </c>
      <c r="M15" s="39" t="s">
        <v>58</v>
      </c>
      <c r="O15" s="40" t="s">
        <v>59</v>
      </c>
      <c r="P15" s="40" t="s">
        <v>60</v>
      </c>
    </row>
    <row r="16" customFormat="false" ht="16.5" hidden="false" customHeight="true" outlineLevel="0" collapsed="false">
      <c r="A16" s="16" t="s">
        <v>61</v>
      </c>
      <c r="B16" s="41" t="n">
        <v>1.08</v>
      </c>
      <c r="C16" s="41" t="n">
        <v>1.35</v>
      </c>
      <c r="D16" s="41" t="n">
        <v>0.88</v>
      </c>
      <c r="E16" s="41" t="n">
        <v>0.82</v>
      </c>
      <c r="F16" s="41" t="n">
        <v>0.88</v>
      </c>
      <c r="G16" s="41" t="n">
        <v>0.85</v>
      </c>
      <c r="H16" s="41" t="n">
        <v>0.88</v>
      </c>
      <c r="I16" s="41" t="n">
        <v>0.9</v>
      </c>
      <c r="J16" s="41" t="n">
        <v>1.08</v>
      </c>
      <c r="K16" s="41" t="n">
        <v>1.12</v>
      </c>
      <c r="L16" s="41" t="n">
        <v>1.1</v>
      </c>
      <c r="M16" s="41" t="n">
        <v>1.06</v>
      </c>
      <c r="O16" s="42" t="n">
        <f aca="false">AVERAGE(B16:M16)</f>
        <v>1</v>
      </c>
      <c r="P16" s="43" t="s">
        <v>62</v>
      </c>
    </row>
    <row r="17" customFormat="false" ht="16.5" hidden="false" customHeight="true" outlineLevel="0" collapsed="false">
      <c r="A17" s="44" t="s">
        <v>63</v>
      </c>
      <c r="B17" s="45" t="n">
        <v>0.005</v>
      </c>
      <c r="C17" s="45" t="n">
        <v>0.035</v>
      </c>
      <c r="D17" s="45" t="n">
        <v>0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5" t="n">
        <v>0.01</v>
      </c>
      <c r="K17" s="45" t="n">
        <v>0.015</v>
      </c>
      <c r="L17" s="45" t="n">
        <v>0.015</v>
      </c>
      <c r="M17" s="45" t="n">
        <v>0.005</v>
      </c>
      <c r="O17" s="46" t="n">
        <f aca="false">AVERAGE(B17:M17)</f>
        <v>0.00708333333333333</v>
      </c>
      <c r="P17" s="47" t="s">
        <v>64</v>
      </c>
    </row>
    <row r="18" customFormat="false" ht="16.5" hidden="false" customHeight="true" outlineLevel="0" collapsed="false">
      <c r="A18" s="16" t="s">
        <v>65</v>
      </c>
      <c r="B18" s="41" t="n">
        <v>1.15</v>
      </c>
      <c r="C18" s="41" t="n">
        <v>1.15</v>
      </c>
      <c r="D18" s="41" t="n">
        <v>1</v>
      </c>
      <c r="E18" s="41" t="n">
        <v>0.9</v>
      </c>
      <c r="F18" s="41" t="n">
        <v>0.95</v>
      </c>
      <c r="G18" s="41" t="n">
        <v>1.05</v>
      </c>
      <c r="H18" s="41" t="n">
        <v>1.18</v>
      </c>
      <c r="I18" s="41" t="n">
        <v>1.18</v>
      </c>
      <c r="J18" s="41" t="n">
        <v>0.95</v>
      </c>
      <c r="K18" s="41" t="n">
        <v>0.9</v>
      </c>
      <c r="L18" s="41" t="n">
        <v>1</v>
      </c>
      <c r="M18" s="41" t="n">
        <v>1.1</v>
      </c>
      <c r="O18" s="42" t="n">
        <f aca="false">AVERAGE(B18:M18)</f>
        <v>1.0425</v>
      </c>
      <c r="P18" s="43" t="s">
        <v>66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19" t="s">
        <v>67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customFormat="false" ht="18" hidden="false" customHeight="true" outlineLevel="0" collapsed="false">
      <c r="A21" s="20" t="s">
        <v>68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52</v>
      </c>
      <c r="H21" s="21" t="s">
        <v>53</v>
      </c>
      <c r="I21" s="21" t="s">
        <v>54</v>
      </c>
      <c r="J21" s="21" t="s">
        <v>55</v>
      </c>
      <c r="K21" s="21" t="s">
        <v>56</v>
      </c>
      <c r="L21" s="21" t="s">
        <v>57</v>
      </c>
      <c r="M21" s="21" t="s">
        <v>58</v>
      </c>
      <c r="N21" s="7" t="s">
        <v>69</v>
      </c>
      <c r="O21" s="7" t="s">
        <v>70</v>
      </c>
    </row>
    <row r="22" customFormat="false" ht="16.5" hidden="false" customHeight="true" outlineLevel="0" collapsed="false">
      <c r="A22" s="48" t="s">
        <v>71</v>
      </c>
      <c r="O22" s="49"/>
      <c r="P22" s="49"/>
    </row>
    <row r="23" customFormat="false" ht="16.5" hidden="false" customHeight="true" outlineLevel="0" collapsed="false">
      <c r="A23" s="11" t="s">
        <v>72</v>
      </c>
      <c r="B23" s="50" t="n">
        <f aca="false">$B$4*B$16*0.25</f>
        <v>21600</v>
      </c>
      <c r="C23" s="50" t="n">
        <f aca="false">$B$4*C$16*0.25</f>
        <v>27000</v>
      </c>
      <c r="D23" s="50" t="n">
        <f aca="false">$B$4*D$16*0.25</f>
        <v>17600</v>
      </c>
      <c r="E23" s="50" t="n">
        <f aca="false">$B$4*E$16*0.25</f>
        <v>16400</v>
      </c>
      <c r="F23" s="50" t="n">
        <f aca="false">$B$4*F$16*0.25</f>
        <v>17600</v>
      </c>
      <c r="G23" s="50" t="n">
        <f aca="false">$B$4*G$16*0.25</f>
        <v>17000</v>
      </c>
      <c r="H23" s="50" t="n">
        <f aca="false">$B$4*H$16*0.25</f>
        <v>17600</v>
      </c>
      <c r="I23" s="50" t="n">
        <f aca="false">$B$4*I$16*0.25</f>
        <v>18000</v>
      </c>
      <c r="J23" s="50" t="n">
        <f aca="false">$B$4*J$16*0.25</f>
        <v>21600</v>
      </c>
      <c r="K23" s="50" t="n">
        <f aca="false">$B$4*K$16*0.25</f>
        <v>22400</v>
      </c>
      <c r="L23" s="50" t="n">
        <f aca="false">$B$4*L$16*0.25</f>
        <v>22000</v>
      </c>
      <c r="M23" s="50" t="n">
        <f aca="false">$B$4*M$16*0.25</f>
        <v>21200</v>
      </c>
      <c r="O23" s="50" t="n">
        <f aca="false">SUM(B23:M23)</f>
        <v>240000</v>
      </c>
      <c r="P23" s="25" t="n">
        <f aca="false">IF(O26=0,0,O23/O26)</f>
        <v>0.25</v>
      </c>
    </row>
    <row r="24" customFormat="false" ht="16.5" hidden="false" customHeight="true" outlineLevel="0" collapsed="false">
      <c r="A24" s="16" t="s">
        <v>73</v>
      </c>
      <c r="B24" s="51" t="n">
        <f aca="false">$B$4*B$16*0.65</f>
        <v>56160</v>
      </c>
      <c r="C24" s="51" t="n">
        <f aca="false">$B$4*C$16*0.65</f>
        <v>70200</v>
      </c>
      <c r="D24" s="51" t="n">
        <f aca="false">$B$4*D$16*0.65</f>
        <v>45760</v>
      </c>
      <c r="E24" s="51" t="n">
        <f aca="false">$B$4*E$16*0.65</f>
        <v>42640</v>
      </c>
      <c r="F24" s="51" t="n">
        <f aca="false">$B$4*F$16*0.65</f>
        <v>45760</v>
      </c>
      <c r="G24" s="51" t="n">
        <f aca="false">$B$4*G$16*0.65</f>
        <v>44200</v>
      </c>
      <c r="H24" s="51" t="n">
        <f aca="false">$B$4*H$16*0.65</f>
        <v>45760</v>
      </c>
      <c r="I24" s="51" t="n">
        <f aca="false">$B$4*I$16*0.65</f>
        <v>46800</v>
      </c>
      <c r="J24" s="51" t="n">
        <f aca="false">$B$4*J$16*0.65</f>
        <v>56160</v>
      </c>
      <c r="K24" s="51" t="n">
        <f aca="false">$B$4*K$16*0.65</f>
        <v>58240</v>
      </c>
      <c r="L24" s="51" t="n">
        <f aca="false">$B$4*L$16*0.65</f>
        <v>57200</v>
      </c>
      <c r="M24" s="51" t="n">
        <f aca="false">$B$4*M$16*0.65</f>
        <v>55120</v>
      </c>
      <c r="O24" s="51" t="n">
        <f aca="false">SUM(B24:M24)</f>
        <v>624000</v>
      </c>
      <c r="P24" s="23" t="n">
        <f aca="false">IF(O26=0,0,O24/O26)</f>
        <v>0.65</v>
      </c>
    </row>
    <row r="25" customFormat="false" ht="16.5" hidden="false" customHeight="true" outlineLevel="0" collapsed="false">
      <c r="A25" s="11" t="s">
        <v>74</v>
      </c>
      <c r="B25" s="50" t="n">
        <f aca="false">$B$4*B$16*0.1</f>
        <v>8640</v>
      </c>
      <c r="C25" s="50" t="n">
        <f aca="false">$B$4*C$16*0.1</f>
        <v>10800</v>
      </c>
      <c r="D25" s="50" t="n">
        <f aca="false">$B$4*D$16*0.1</f>
        <v>7040</v>
      </c>
      <c r="E25" s="50" t="n">
        <f aca="false">$B$4*E$16*0.1</f>
        <v>6560</v>
      </c>
      <c r="F25" s="50" t="n">
        <f aca="false">$B$4*F$16*0.1</f>
        <v>7040</v>
      </c>
      <c r="G25" s="50" t="n">
        <f aca="false">$B$4*G$16*0.1</f>
        <v>6800</v>
      </c>
      <c r="H25" s="50" t="n">
        <f aca="false">$B$4*H$16*0.1</f>
        <v>7040</v>
      </c>
      <c r="I25" s="50" t="n">
        <f aca="false">$B$4*I$16*0.1</f>
        <v>7200</v>
      </c>
      <c r="J25" s="50" t="n">
        <f aca="false">$B$4*J$16*0.1</f>
        <v>8640</v>
      </c>
      <c r="K25" s="50" t="n">
        <f aca="false">$B$4*K$16*0.1</f>
        <v>8960</v>
      </c>
      <c r="L25" s="50" t="n">
        <f aca="false">$B$4*L$16*0.1</f>
        <v>8800</v>
      </c>
      <c r="M25" s="50" t="n">
        <f aca="false">$B$4*M$16*0.1</f>
        <v>8480</v>
      </c>
      <c r="O25" s="50" t="n">
        <f aca="false">SUM(B25:M25)</f>
        <v>96000</v>
      </c>
      <c r="P25" s="25" t="n">
        <f aca="false">IF(O26=0,0,O25/O26)</f>
        <v>0.1</v>
      </c>
    </row>
    <row r="26" customFormat="false" ht="16.5" hidden="false" customHeight="true" outlineLevel="0" collapsed="false">
      <c r="A26" s="52" t="s">
        <v>75</v>
      </c>
      <c r="B26" s="53" t="n">
        <f aca="false">B23+B24+B25</f>
        <v>86400</v>
      </c>
      <c r="C26" s="53" t="n">
        <f aca="false">C23+C24+C25</f>
        <v>108000</v>
      </c>
      <c r="D26" s="53" t="n">
        <f aca="false">D23+D24+D25</f>
        <v>70400</v>
      </c>
      <c r="E26" s="53" t="n">
        <f aca="false">E23+E24+E25</f>
        <v>65600</v>
      </c>
      <c r="F26" s="53" t="n">
        <f aca="false">F23+F24+F25</f>
        <v>70400</v>
      </c>
      <c r="G26" s="53" t="n">
        <f aca="false">G23+G24+G25</f>
        <v>68000</v>
      </c>
      <c r="H26" s="53" t="n">
        <f aca="false">H23+H24+H25</f>
        <v>70400</v>
      </c>
      <c r="I26" s="53" t="n">
        <f aca="false">I23+I24+I25</f>
        <v>72000</v>
      </c>
      <c r="J26" s="53" t="n">
        <f aca="false">J23+J24+J25</f>
        <v>86400</v>
      </c>
      <c r="K26" s="53" t="n">
        <f aca="false">K23+K24+K25</f>
        <v>89600</v>
      </c>
      <c r="L26" s="53" t="n">
        <f aca="false">L23+L24+L25</f>
        <v>88000</v>
      </c>
      <c r="M26" s="53" t="n">
        <f aca="false">M23+M24+M25</f>
        <v>84800</v>
      </c>
      <c r="O26" s="54" t="n">
        <f aca="false">SUM(B26:M26)</f>
        <v>960000</v>
      </c>
      <c r="P26" s="55" t="n">
        <f aca="false">IF(O26=0,0,O26/O26)</f>
        <v>1</v>
      </c>
    </row>
    <row r="27" customFormat="false" ht="6" hidden="false" customHeight="true" outlineLevel="0" collapsed="false"/>
    <row r="28" customFormat="false" ht="16.5" hidden="false" customHeight="true" outlineLevel="0" collapsed="false">
      <c r="A28" s="48" t="s">
        <v>76</v>
      </c>
      <c r="O28" s="49"/>
      <c r="P28" s="49"/>
    </row>
    <row r="29" customFormat="false" ht="16.5" hidden="false" customHeight="true" outlineLevel="0" collapsed="false">
      <c r="A29" s="11" t="s">
        <v>77</v>
      </c>
      <c r="B29" s="50" t="n">
        <f aca="false">B26*($B$5+B$17)</f>
        <v>28944</v>
      </c>
      <c r="C29" s="50" t="n">
        <f aca="false">C26*($B$5+C$17)</f>
        <v>39420</v>
      </c>
      <c r="D29" s="50" t="n">
        <f aca="false">D26*($B$5+D$17)</f>
        <v>23232</v>
      </c>
      <c r="E29" s="50" t="n">
        <f aca="false">E26*($B$5+E$17)</f>
        <v>21648</v>
      </c>
      <c r="F29" s="50" t="n">
        <f aca="false">F26*($B$5+F$17)</f>
        <v>23232</v>
      </c>
      <c r="G29" s="50" t="n">
        <f aca="false">G26*($B$5+G$17)</f>
        <v>22440</v>
      </c>
      <c r="H29" s="50" t="n">
        <f aca="false">H26*($B$5+H$17)</f>
        <v>23232</v>
      </c>
      <c r="I29" s="50" t="n">
        <f aca="false">I26*($B$5+I$17)</f>
        <v>23760</v>
      </c>
      <c r="J29" s="50" t="n">
        <f aca="false">J26*($B$5+J$17)</f>
        <v>29376</v>
      </c>
      <c r="K29" s="50" t="n">
        <f aca="false">K26*($B$5+K$17)</f>
        <v>30912</v>
      </c>
      <c r="L29" s="50" t="n">
        <f aca="false">L26*($B$5+L$17)</f>
        <v>30360</v>
      </c>
      <c r="M29" s="50" t="n">
        <f aca="false">M26*($B$5+M$17)</f>
        <v>28408</v>
      </c>
      <c r="O29" s="50" t="n">
        <f aca="false">SUM(B29:M29)</f>
        <v>324964</v>
      </c>
      <c r="P29" s="25" t="n">
        <f aca="false">IF(O26=0,0,O29/O26)</f>
        <v>0.338504166666667</v>
      </c>
    </row>
    <row r="30" customFormat="false" ht="16.5" hidden="false" customHeight="true" outlineLevel="0" collapsed="false">
      <c r="A30" s="16" t="s">
        <v>78</v>
      </c>
      <c r="B30" s="51" t="n">
        <f aca="false">B26*$B$6</f>
        <v>1728</v>
      </c>
      <c r="C30" s="51" t="n">
        <f aca="false">C26*$B$6</f>
        <v>2160</v>
      </c>
      <c r="D30" s="51" t="n">
        <f aca="false">D26*$B$6</f>
        <v>1408</v>
      </c>
      <c r="E30" s="51" t="n">
        <f aca="false">E26*$B$6</f>
        <v>1312</v>
      </c>
      <c r="F30" s="51" t="n">
        <f aca="false">F26*$B$6</f>
        <v>1408</v>
      </c>
      <c r="G30" s="51" t="n">
        <f aca="false">G26*$B$6</f>
        <v>1360</v>
      </c>
      <c r="H30" s="51" t="n">
        <f aca="false">H26*$B$6</f>
        <v>1408</v>
      </c>
      <c r="I30" s="51" t="n">
        <f aca="false">I26*$B$6</f>
        <v>1440</v>
      </c>
      <c r="J30" s="51" t="n">
        <f aca="false">J26*$B$6</f>
        <v>1728</v>
      </c>
      <c r="K30" s="51" t="n">
        <f aca="false">K26*$B$6</f>
        <v>1792</v>
      </c>
      <c r="L30" s="51" t="n">
        <f aca="false">L26*$B$6</f>
        <v>1760</v>
      </c>
      <c r="M30" s="51" t="n">
        <f aca="false">M26*$B$6</f>
        <v>1696</v>
      </c>
      <c r="O30" s="51" t="n">
        <f aca="false">SUM(B30:M30)</f>
        <v>19200</v>
      </c>
      <c r="P30" s="23" t="n">
        <f aca="false">IF(O26=0,0,O30/O26)</f>
        <v>0.02</v>
      </c>
    </row>
    <row r="31" customFormat="false" ht="16.5" hidden="false" customHeight="true" outlineLevel="0" collapsed="false">
      <c r="A31" s="56" t="s">
        <v>8</v>
      </c>
      <c r="B31" s="53" t="n">
        <f aca="false">B29+B30</f>
        <v>30672</v>
      </c>
      <c r="C31" s="53" t="n">
        <f aca="false">C29+C30</f>
        <v>41580</v>
      </c>
      <c r="D31" s="53" t="n">
        <f aca="false">D29+D30</f>
        <v>24640</v>
      </c>
      <c r="E31" s="53" t="n">
        <f aca="false">E29+E30</f>
        <v>22960</v>
      </c>
      <c r="F31" s="53" t="n">
        <f aca="false">F29+F30</f>
        <v>24640</v>
      </c>
      <c r="G31" s="53" t="n">
        <f aca="false">G29+G30</f>
        <v>23800</v>
      </c>
      <c r="H31" s="53" t="n">
        <f aca="false">H29+H30</f>
        <v>24640</v>
      </c>
      <c r="I31" s="53" t="n">
        <f aca="false">I29+I30</f>
        <v>25200</v>
      </c>
      <c r="J31" s="53" t="n">
        <f aca="false">J29+J30</f>
        <v>31104</v>
      </c>
      <c r="K31" s="53" t="n">
        <f aca="false">K29+K30</f>
        <v>32704</v>
      </c>
      <c r="L31" s="53" t="n">
        <f aca="false">L29+L30</f>
        <v>32120</v>
      </c>
      <c r="M31" s="53" t="n">
        <f aca="false">M29+M30</f>
        <v>30104</v>
      </c>
      <c r="O31" s="54" t="n">
        <f aca="false">SUM(B31:M31)</f>
        <v>344164</v>
      </c>
      <c r="P31" s="55" t="n">
        <f aca="false">IF(O26=0,0,O31/O26)</f>
        <v>0.358504166666667</v>
      </c>
    </row>
    <row r="32" customFormat="false" ht="6" hidden="false" customHeight="true" outlineLevel="0" collapsed="false"/>
    <row r="33" customFormat="false" ht="16.5" hidden="false" customHeight="true" outlineLevel="0" collapsed="false">
      <c r="A33" s="56" t="s">
        <v>79</v>
      </c>
      <c r="B33" s="53" t="n">
        <f aca="false">B26-B31</f>
        <v>55728</v>
      </c>
      <c r="C33" s="53" t="n">
        <f aca="false">C26-C31</f>
        <v>66420</v>
      </c>
      <c r="D33" s="53" t="n">
        <f aca="false">D26-D31</f>
        <v>45760</v>
      </c>
      <c r="E33" s="53" t="n">
        <f aca="false">E26-E31</f>
        <v>42640</v>
      </c>
      <c r="F33" s="53" t="n">
        <f aca="false">F26-F31</f>
        <v>45760</v>
      </c>
      <c r="G33" s="53" t="n">
        <f aca="false">G26-G31</f>
        <v>44200</v>
      </c>
      <c r="H33" s="53" t="n">
        <f aca="false">H26-H31</f>
        <v>45760</v>
      </c>
      <c r="I33" s="53" t="n">
        <f aca="false">I26-I31</f>
        <v>46800</v>
      </c>
      <c r="J33" s="53" t="n">
        <f aca="false">J26-J31</f>
        <v>55296</v>
      </c>
      <c r="K33" s="53" t="n">
        <f aca="false">K26-K31</f>
        <v>56896</v>
      </c>
      <c r="L33" s="53" t="n">
        <f aca="false">L26-L31</f>
        <v>55880</v>
      </c>
      <c r="M33" s="53" t="n">
        <f aca="false">M26-M31</f>
        <v>54696</v>
      </c>
      <c r="O33" s="54" t="n">
        <f aca="false">SUM(B33:M33)</f>
        <v>615836</v>
      </c>
      <c r="P33" s="55" t="n">
        <f aca="false">IF(O26=0,0,O33/O26)</f>
        <v>0.641495833333333</v>
      </c>
    </row>
    <row r="34" customFormat="false" ht="16.5" hidden="false" customHeight="true" outlineLevel="0" collapsed="false">
      <c r="A34" s="16" t="s">
        <v>10</v>
      </c>
      <c r="B34" s="23" t="n">
        <f aca="false">IF(B26=0,0,B33/B26)</f>
        <v>0.645</v>
      </c>
      <c r="C34" s="23" t="n">
        <f aca="false">IF(C26=0,0,C33/C26)</f>
        <v>0.615</v>
      </c>
      <c r="D34" s="23" t="n">
        <f aca="false">IF(D26=0,0,D33/D26)</f>
        <v>0.65</v>
      </c>
      <c r="E34" s="23" t="n">
        <f aca="false">IF(E26=0,0,E33/E26)</f>
        <v>0.65</v>
      </c>
      <c r="F34" s="23" t="n">
        <f aca="false">IF(F26=0,0,F33/F26)</f>
        <v>0.65</v>
      </c>
      <c r="G34" s="23" t="n">
        <f aca="false">IF(G26=0,0,G33/G26)</f>
        <v>0.65</v>
      </c>
      <c r="H34" s="23" t="n">
        <f aca="false">IF(H26=0,0,H33/H26)</f>
        <v>0.65</v>
      </c>
      <c r="I34" s="23" t="n">
        <f aca="false">IF(I26=0,0,I33/I26)</f>
        <v>0.65</v>
      </c>
      <c r="J34" s="23" t="n">
        <f aca="false">IF(J26=0,0,J33/J26)</f>
        <v>0.64</v>
      </c>
      <c r="K34" s="23" t="n">
        <f aca="false">IF(K26=0,0,K33/K26)</f>
        <v>0.635</v>
      </c>
      <c r="L34" s="23" t="n">
        <f aca="false">IF(L26=0,0,L33/L26)</f>
        <v>0.635</v>
      </c>
      <c r="M34" s="23" t="n">
        <f aca="false">IF(M26=0,0,M33/M26)</f>
        <v>0.645</v>
      </c>
      <c r="O34" s="23" t="n">
        <f aca="false">IF(O26=0,0,O33/O26)</f>
        <v>0.641495833333333</v>
      </c>
      <c r="P34" s="23" t="n">
        <f aca="false">IF(O26=0,0,O33/O26)</f>
        <v>0.641495833333333</v>
      </c>
    </row>
    <row r="35" customFormat="false" ht="6" hidden="false" customHeight="true" outlineLevel="0" collapsed="false"/>
    <row r="36" customFormat="false" ht="16.5" hidden="false" customHeight="true" outlineLevel="0" collapsed="false">
      <c r="A36" s="48" t="s">
        <v>80</v>
      </c>
      <c r="O36" s="49"/>
      <c r="P36" s="49"/>
    </row>
    <row r="37" customFormat="false" ht="16.5" hidden="false" customHeight="true" outlineLevel="0" collapsed="false">
      <c r="A37" s="11" t="s">
        <v>81</v>
      </c>
      <c r="B37" s="50" t="n">
        <f aca="false">B26*$B$7</f>
        <v>18144</v>
      </c>
      <c r="C37" s="50" t="n">
        <f aca="false">C26*$B$7</f>
        <v>22680</v>
      </c>
      <c r="D37" s="50" t="n">
        <f aca="false">D26*$B$7</f>
        <v>14784</v>
      </c>
      <c r="E37" s="50" t="n">
        <f aca="false">E26*$B$7</f>
        <v>13776</v>
      </c>
      <c r="F37" s="50" t="n">
        <f aca="false">F26*$B$7</f>
        <v>14784</v>
      </c>
      <c r="G37" s="50" t="n">
        <f aca="false">G26*$B$7</f>
        <v>14280</v>
      </c>
      <c r="H37" s="50" t="n">
        <f aca="false">H26*$B$7</f>
        <v>14784</v>
      </c>
      <c r="I37" s="50" t="n">
        <f aca="false">I26*$B$7</f>
        <v>15120</v>
      </c>
      <c r="J37" s="50" t="n">
        <f aca="false">J26*$B$7</f>
        <v>18144</v>
      </c>
      <c r="K37" s="50" t="n">
        <f aca="false">K26*$B$7</f>
        <v>18816</v>
      </c>
      <c r="L37" s="50" t="n">
        <f aca="false">L26*$B$7</f>
        <v>18480</v>
      </c>
      <c r="M37" s="50" t="n">
        <f aca="false">M26*$B$7</f>
        <v>17808</v>
      </c>
      <c r="O37" s="50" t="n">
        <f aca="false">SUM(B37:M37)</f>
        <v>201600</v>
      </c>
      <c r="P37" s="25" t="n">
        <f aca="false">IF(O26=0,0,O37/O26)</f>
        <v>0.21</v>
      </c>
    </row>
    <row r="38" customFormat="false" ht="16.5" hidden="false" customHeight="true" outlineLevel="0" collapsed="false">
      <c r="A38" s="16" t="s">
        <v>82</v>
      </c>
      <c r="B38" s="17" t="n">
        <f aca="false">$B$8</f>
        <v>3200</v>
      </c>
      <c r="C38" s="17" t="n">
        <f aca="false">$B$8</f>
        <v>3200</v>
      </c>
      <c r="D38" s="17" t="n">
        <f aca="false">$B$8</f>
        <v>3200</v>
      </c>
      <c r="E38" s="17" t="n">
        <f aca="false">$B$8</f>
        <v>3200</v>
      </c>
      <c r="F38" s="17" t="n">
        <f aca="false">$B$8</f>
        <v>3200</v>
      </c>
      <c r="G38" s="17" t="n">
        <f aca="false">$B$8</f>
        <v>3200</v>
      </c>
      <c r="H38" s="17" t="n">
        <f aca="false">$B$8</f>
        <v>3200</v>
      </c>
      <c r="I38" s="17" t="n">
        <f aca="false">$B$8</f>
        <v>3200</v>
      </c>
      <c r="J38" s="17" t="n">
        <f aca="false">$B$8</f>
        <v>3200</v>
      </c>
      <c r="K38" s="17" t="n">
        <f aca="false">$B$8</f>
        <v>3200</v>
      </c>
      <c r="L38" s="17" t="n">
        <f aca="false">$B$8</f>
        <v>3200</v>
      </c>
      <c r="M38" s="17" t="n">
        <f aca="false">$B$8</f>
        <v>3200</v>
      </c>
      <c r="O38" s="51" t="n">
        <f aca="false">SUM(B38:M38)</f>
        <v>38400</v>
      </c>
      <c r="P38" s="23" t="n">
        <f aca="false">IF(O26=0,0,O38/O26)</f>
        <v>0.04</v>
      </c>
    </row>
    <row r="39" customFormat="false" ht="16.5" hidden="false" customHeight="true" outlineLevel="0" collapsed="false">
      <c r="A39" s="11" t="s">
        <v>83</v>
      </c>
      <c r="B39" s="12" t="n">
        <f aca="false">$B$9</f>
        <v>7200</v>
      </c>
      <c r="C39" s="12" t="n">
        <f aca="false">$B$9</f>
        <v>7200</v>
      </c>
      <c r="D39" s="12" t="n">
        <f aca="false">$B$9</f>
        <v>7200</v>
      </c>
      <c r="E39" s="12" t="n">
        <f aca="false">$B$9</f>
        <v>7200</v>
      </c>
      <c r="F39" s="12" t="n">
        <f aca="false">$B$9</f>
        <v>7200</v>
      </c>
      <c r="G39" s="12" t="n">
        <f aca="false">$B$9</f>
        <v>7200</v>
      </c>
      <c r="H39" s="12" t="n">
        <f aca="false">$B$9</f>
        <v>7200</v>
      </c>
      <c r="I39" s="12" t="n">
        <f aca="false">$B$9</f>
        <v>7200</v>
      </c>
      <c r="J39" s="12" t="n">
        <f aca="false">$B$9</f>
        <v>7200</v>
      </c>
      <c r="K39" s="12" t="n">
        <f aca="false">$B$9</f>
        <v>7200</v>
      </c>
      <c r="L39" s="12" t="n">
        <f aca="false">$B$9</f>
        <v>7200</v>
      </c>
      <c r="M39" s="12" t="n">
        <f aca="false">$B$9</f>
        <v>7200</v>
      </c>
      <c r="O39" s="50" t="n">
        <f aca="false">SUM(B39:M39)</f>
        <v>86400</v>
      </c>
      <c r="P39" s="25" t="n">
        <f aca="false">IF(O26=0,0,O39/O26)</f>
        <v>0.09</v>
      </c>
    </row>
    <row r="40" customFormat="false" ht="16.5" hidden="false" customHeight="true" outlineLevel="0" collapsed="false">
      <c r="A40" s="16" t="s">
        <v>84</v>
      </c>
      <c r="B40" s="51" t="n">
        <f aca="false">$B$10*B$18</f>
        <v>1150</v>
      </c>
      <c r="C40" s="51" t="n">
        <f aca="false">$B$10*C$18</f>
        <v>1150</v>
      </c>
      <c r="D40" s="51" t="n">
        <f aca="false">$B$10*D$18</f>
        <v>1000</v>
      </c>
      <c r="E40" s="51" t="n">
        <f aca="false">$B$10*E$18</f>
        <v>900</v>
      </c>
      <c r="F40" s="51" t="n">
        <f aca="false">$B$10*F$18</f>
        <v>950</v>
      </c>
      <c r="G40" s="51" t="n">
        <f aca="false">$B$10*G$18</f>
        <v>1050</v>
      </c>
      <c r="H40" s="51" t="n">
        <f aca="false">$B$10*H$18</f>
        <v>1180</v>
      </c>
      <c r="I40" s="51" t="n">
        <f aca="false">$B$10*I$18</f>
        <v>1180</v>
      </c>
      <c r="J40" s="51" t="n">
        <f aca="false">$B$10*J$18</f>
        <v>950</v>
      </c>
      <c r="K40" s="51" t="n">
        <f aca="false">$B$10*K$18</f>
        <v>900</v>
      </c>
      <c r="L40" s="51" t="n">
        <f aca="false">$B$10*L$18</f>
        <v>1000</v>
      </c>
      <c r="M40" s="51" t="n">
        <f aca="false">$B$10*M$18</f>
        <v>1100</v>
      </c>
      <c r="O40" s="51" t="n">
        <f aca="false">SUM(B40:M40)</f>
        <v>12510</v>
      </c>
      <c r="P40" s="23" t="n">
        <f aca="false">IF(O26=0,0,O40/O26)</f>
        <v>0.01303125</v>
      </c>
    </row>
    <row r="41" customFormat="false" ht="16.5" hidden="false" customHeight="true" outlineLevel="0" collapsed="false">
      <c r="A41" s="11" t="s">
        <v>85</v>
      </c>
      <c r="B41" s="50" t="n">
        <f aca="false">B26*$B$11</f>
        <v>3456</v>
      </c>
      <c r="C41" s="50" t="n">
        <f aca="false">C26*$B$11</f>
        <v>4320</v>
      </c>
      <c r="D41" s="50" t="n">
        <f aca="false">D26*$B$11</f>
        <v>2816</v>
      </c>
      <c r="E41" s="50" t="n">
        <f aca="false">E26*$B$11</f>
        <v>2624</v>
      </c>
      <c r="F41" s="50" t="n">
        <f aca="false">F26*$B$11</f>
        <v>2816</v>
      </c>
      <c r="G41" s="50" t="n">
        <f aca="false">G26*$B$11</f>
        <v>2720</v>
      </c>
      <c r="H41" s="50" t="n">
        <f aca="false">H26*$B$11</f>
        <v>2816</v>
      </c>
      <c r="I41" s="50" t="n">
        <f aca="false">I26*$B$11</f>
        <v>2880</v>
      </c>
      <c r="J41" s="50" t="n">
        <f aca="false">J26*$B$11</f>
        <v>3456</v>
      </c>
      <c r="K41" s="50" t="n">
        <f aca="false">K26*$B$11</f>
        <v>3584</v>
      </c>
      <c r="L41" s="50" t="n">
        <f aca="false">L26*$B$11</f>
        <v>3520</v>
      </c>
      <c r="M41" s="50" t="n">
        <f aca="false">M26*$B$11</f>
        <v>3392</v>
      </c>
      <c r="O41" s="50" t="n">
        <f aca="false">SUM(B41:M41)</f>
        <v>38400</v>
      </c>
      <c r="P41" s="25" t="n">
        <f aca="false">IF(O26=0,0,O41/O26)</f>
        <v>0.04</v>
      </c>
    </row>
    <row r="42" customFormat="false" ht="16.5" hidden="false" customHeight="true" outlineLevel="0" collapsed="false">
      <c r="A42" s="16" t="s">
        <v>86</v>
      </c>
      <c r="B42" s="17" t="n">
        <f aca="false">$B$12</f>
        <v>450</v>
      </c>
      <c r="C42" s="17" t="n">
        <f aca="false">$B$12</f>
        <v>450</v>
      </c>
      <c r="D42" s="17" t="n">
        <f aca="false">$B$12</f>
        <v>450</v>
      </c>
      <c r="E42" s="17" t="n">
        <f aca="false">$B$12</f>
        <v>450</v>
      </c>
      <c r="F42" s="17" t="n">
        <f aca="false">$B$12</f>
        <v>450</v>
      </c>
      <c r="G42" s="17" t="n">
        <f aca="false">$B$12</f>
        <v>450</v>
      </c>
      <c r="H42" s="17" t="n">
        <f aca="false">$B$12</f>
        <v>450</v>
      </c>
      <c r="I42" s="17" t="n">
        <f aca="false">$B$12</f>
        <v>450</v>
      </c>
      <c r="J42" s="17" t="n">
        <f aca="false">$B$12</f>
        <v>450</v>
      </c>
      <c r="K42" s="17" t="n">
        <f aca="false">$B$12</f>
        <v>450</v>
      </c>
      <c r="L42" s="17" t="n">
        <f aca="false">$B$12</f>
        <v>450</v>
      </c>
      <c r="M42" s="17" t="n">
        <f aca="false">$B$12</f>
        <v>450</v>
      </c>
      <c r="O42" s="51" t="n">
        <f aca="false">SUM(B42:M42)</f>
        <v>5400</v>
      </c>
      <c r="P42" s="23" t="n">
        <f aca="false">IF(O26=0,0,O42/O26)</f>
        <v>0.005625</v>
      </c>
    </row>
    <row r="43" customFormat="false" ht="16.5" hidden="false" customHeight="true" outlineLevel="0" collapsed="false">
      <c r="A43" s="56" t="s">
        <v>11</v>
      </c>
      <c r="B43" s="53" t="n">
        <f aca="false">B37+B38+B39+B40+B41+B42</f>
        <v>33600</v>
      </c>
      <c r="C43" s="53" t="n">
        <f aca="false">C37+C38+C39+C40+C41+C42</f>
        <v>39000</v>
      </c>
      <c r="D43" s="53" t="n">
        <f aca="false">D37+D38+D39+D40+D41+D42</f>
        <v>29450</v>
      </c>
      <c r="E43" s="53" t="n">
        <f aca="false">E37+E38+E39+E40+E41+E42</f>
        <v>28150</v>
      </c>
      <c r="F43" s="53" t="n">
        <f aca="false">F37+F38+F39+F40+F41+F42</f>
        <v>29400</v>
      </c>
      <c r="G43" s="53" t="n">
        <f aca="false">G37+G38+G39+G40+G41+G42</f>
        <v>28900</v>
      </c>
      <c r="H43" s="53" t="n">
        <f aca="false">H37+H38+H39+H40+H41+H42</f>
        <v>29630</v>
      </c>
      <c r="I43" s="53" t="n">
        <f aca="false">I37+I38+I39+I40+I41+I42</f>
        <v>30030</v>
      </c>
      <c r="J43" s="53" t="n">
        <f aca="false">J37+J38+J39+J40+J41+J42</f>
        <v>33400</v>
      </c>
      <c r="K43" s="53" t="n">
        <f aca="false">K37+K38+K39+K40+K41+K42</f>
        <v>34150</v>
      </c>
      <c r="L43" s="53" t="n">
        <f aca="false">L37+L38+L39+L40+L41+L42</f>
        <v>33850</v>
      </c>
      <c r="M43" s="53" t="n">
        <f aca="false">M37+M38+M39+M40+M41+M42</f>
        <v>33150</v>
      </c>
      <c r="O43" s="54" t="n">
        <f aca="false">SUM(B43:M43)</f>
        <v>382710</v>
      </c>
      <c r="P43" s="55" t="n">
        <f aca="false">IF(O26=0,0,O43/O26)</f>
        <v>0.39865625</v>
      </c>
    </row>
    <row r="44" customFormat="false" ht="6" hidden="false" customHeight="true" outlineLevel="0" collapsed="false"/>
    <row r="45" customFormat="false" ht="16.5" hidden="false" customHeight="true" outlineLevel="0" collapsed="false">
      <c r="A45" s="56" t="s">
        <v>87</v>
      </c>
      <c r="B45" s="53" t="n">
        <f aca="false">B33-B43</f>
        <v>22128</v>
      </c>
      <c r="C45" s="53" t="n">
        <f aca="false">C33-C43</f>
        <v>27420</v>
      </c>
      <c r="D45" s="53" t="n">
        <f aca="false">D33-D43</f>
        <v>16310</v>
      </c>
      <c r="E45" s="53" t="n">
        <f aca="false">E33-E43</f>
        <v>14490</v>
      </c>
      <c r="F45" s="53" t="n">
        <f aca="false">F33-F43</f>
        <v>16360</v>
      </c>
      <c r="G45" s="53" t="n">
        <f aca="false">G33-G43</f>
        <v>15300</v>
      </c>
      <c r="H45" s="53" t="n">
        <f aca="false">H33-H43</f>
        <v>16130</v>
      </c>
      <c r="I45" s="53" t="n">
        <f aca="false">I33-I43</f>
        <v>16770</v>
      </c>
      <c r="J45" s="53" t="n">
        <f aca="false">J33-J43</f>
        <v>21896</v>
      </c>
      <c r="K45" s="53" t="n">
        <f aca="false">K33-K43</f>
        <v>22746</v>
      </c>
      <c r="L45" s="53" t="n">
        <f aca="false">L33-L43</f>
        <v>22030</v>
      </c>
      <c r="M45" s="53" t="n">
        <f aca="false">M33-M43</f>
        <v>21546</v>
      </c>
      <c r="O45" s="54" t="n">
        <f aca="false">SUM(B45:M45)</f>
        <v>233126</v>
      </c>
      <c r="P45" s="55" t="n">
        <f aca="false">IF(O26=0,0,O45/O26)</f>
        <v>0.242839583333333</v>
      </c>
    </row>
    <row r="46" customFormat="false" ht="16.5" hidden="false" customHeight="true" outlineLevel="0" collapsed="false">
      <c r="A46" s="16" t="s">
        <v>88</v>
      </c>
      <c r="B46" s="23" t="n">
        <f aca="false">IF(B26=0,0,B45/B26)</f>
        <v>0.256111111111111</v>
      </c>
      <c r="C46" s="23" t="n">
        <f aca="false">IF(C26=0,0,C45/C26)</f>
        <v>0.253888888888889</v>
      </c>
      <c r="D46" s="23" t="n">
        <f aca="false">IF(D26=0,0,D45/D26)</f>
        <v>0.231676136363636</v>
      </c>
      <c r="E46" s="23" t="n">
        <f aca="false">IF(E26=0,0,E45/E26)</f>
        <v>0.220884146341463</v>
      </c>
      <c r="F46" s="23" t="n">
        <f aca="false">IF(F26=0,0,F45/F26)</f>
        <v>0.232386363636364</v>
      </c>
      <c r="G46" s="23" t="n">
        <f aca="false">IF(G26=0,0,G45/G26)</f>
        <v>0.225</v>
      </c>
      <c r="H46" s="23" t="n">
        <f aca="false">IF(H26=0,0,H45/H26)</f>
        <v>0.229119318181818</v>
      </c>
      <c r="I46" s="23" t="n">
        <f aca="false">IF(I26=0,0,I45/I26)</f>
        <v>0.232916666666667</v>
      </c>
      <c r="J46" s="23" t="n">
        <f aca="false">IF(J26=0,0,J45/J26)</f>
        <v>0.253425925925926</v>
      </c>
      <c r="K46" s="23" t="n">
        <f aca="false">IF(K26=0,0,K45/K26)</f>
        <v>0.253861607142857</v>
      </c>
      <c r="L46" s="23" t="n">
        <f aca="false">IF(L26=0,0,L45/L26)</f>
        <v>0.250340909090909</v>
      </c>
      <c r="M46" s="23" t="n">
        <f aca="false">IF(M26=0,0,M45/M26)</f>
        <v>0.254080188679245</v>
      </c>
      <c r="O46" s="23" t="n">
        <f aca="false">IF(O26=0,0,O45/O26)</f>
        <v>0.242839583333333</v>
      </c>
      <c r="P46" s="23" t="n">
        <f aca="false">IF(O26=0,0,O45/O26)</f>
        <v>0.242839583333333</v>
      </c>
    </row>
  </sheetData>
  <mergeCells count="5">
    <mergeCell ref="A1:P1"/>
    <mergeCell ref="A2:P2"/>
    <mergeCell ref="A3:P3"/>
    <mergeCell ref="A14:P14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14" min="2" style="0" width="10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27.75" hidden="false" customHeight="true" outlineLevel="0" collapsed="false">
      <c r="A1" s="58" t="s">
        <v>100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customFormat="false" ht="1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19" t="s">
        <v>36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customFormat="false" ht="16.5" hidden="false" customHeight="true" outlineLevel="0" collapsed="false">
      <c r="A4" s="16" t="s">
        <v>37</v>
      </c>
      <c r="B4" s="34" t="n">
        <v>82000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customFormat="false" ht="16.5" hidden="false" customHeight="true" outlineLevel="0" collapsed="false">
      <c r="A5" s="11" t="s">
        <v>38</v>
      </c>
      <c r="B5" s="36" t="n">
        <v>0.33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customFormat="false" ht="16.5" hidden="false" customHeight="true" outlineLevel="0" collapsed="false">
      <c r="A6" s="16" t="s">
        <v>39</v>
      </c>
      <c r="B6" s="36" t="n">
        <v>0.02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customFormat="false" ht="16.5" hidden="false" customHeight="true" outlineLevel="0" collapsed="false">
      <c r="A7" s="11" t="s">
        <v>40</v>
      </c>
      <c r="B7" s="36" t="n">
        <v>0.21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customFormat="false" ht="16.5" hidden="false" customHeight="true" outlineLevel="0" collapsed="false">
      <c r="A8" s="16" t="s">
        <v>41</v>
      </c>
      <c r="B8" s="34" t="n">
        <v>3200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customFormat="false" ht="16.5" hidden="false" customHeight="true" outlineLevel="0" collapsed="false">
      <c r="A9" s="11" t="s">
        <v>42</v>
      </c>
      <c r="B9" s="34" t="n">
        <v>7400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customFormat="false" ht="16.5" hidden="false" customHeight="true" outlineLevel="0" collapsed="false">
      <c r="A10" s="16" t="s">
        <v>43</v>
      </c>
      <c r="B10" s="34" t="n">
        <v>1000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customFormat="false" ht="16.5" hidden="false" customHeight="true" outlineLevel="0" collapsed="false">
      <c r="A11" s="11" t="s">
        <v>44</v>
      </c>
      <c r="B11" s="36" t="n">
        <v>0.04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customFormat="false" ht="16.5" hidden="false" customHeight="true" outlineLevel="0" collapsed="false">
      <c r="A12" s="16" t="s">
        <v>45</v>
      </c>
      <c r="B12" s="34" t="n">
        <v>450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customFormat="false" ht="7.5" hidden="false" customHeight="true" outlineLevel="0" collapsed="false"/>
    <row r="14" customFormat="false" ht="18" hidden="false" customHeight="true" outlineLevel="0" collapsed="false">
      <c r="A14" s="19" t="s">
        <v>46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customFormat="false" ht="15.75" hidden="false" customHeight="true" outlineLevel="0" collapsed="false">
      <c r="A15" s="38"/>
      <c r="B15" s="39" t="s">
        <v>47</v>
      </c>
      <c r="C15" s="39" t="s">
        <v>48</v>
      </c>
      <c r="D15" s="39" t="s">
        <v>49</v>
      </c>
      <c r="E15" s="39" t="s">
        <v>50</v>
      </c>
      <c r="F15" s="39" t="s">
        <v>51</v>
      </c>
      <c r="G15" s="39" t="s">
        <v>52</v>
      </c>
      <c r="H15" s="39" t="s">
        <v>53</v>
      </c>
      <c r="I15" s="39" t="s">
        <v>54</v>
      </c>
      <c r="J15" s="39" t="s">
        <v>55</v>
      </c>
      <c r="K15" s="39" t="s">
        <v>56</v>
      </c>
      <c r="L15" s="39" t="s">
        <v>57</v>
      </c>
      <c r="M15" s="39" t="s">
        <v>58</v>
      </c>
      <c r="O15" s="40" t="s">
        <v>59</v>
      </c>
      <c r="P15" s="40" t="s">
        <v>60</v>
      </c>
    </row>
    <row r="16" customFormat="false" ht="16.5" hidden="false" customHeight="true" outlineLevel="0" collapsed="false">
      <c r="A16" s="16" t="s">
        <v>61</v>
      </c>
      <c r="B16" s="41" t="n">
        <v>1.08</v>
      </c>
      <c r="C16" s="41" t="n">
        <v>1.35</v>
      </c>
      <c r="D16" s="41" t="n">
        <v>0.88</v>
      </c>
      <c r="E16" s="41" t="n">
        <v>0.82</v>
      </c>
      <c r="F16" s="41" t="n">
        <v>0.88</v>
      </c>
      <c r="G16" s="41" t="n">
        <v>0.85</v>
      </c>
      <c r="H16" s="41" t="n">
        <v>0.88</v>
      </c>
      <c r="I16" s="41" t="n">
        <v>0.9</v>
      </c>
      <c r="J16" s="41" t="n">
        <v>1.08</v>
      </c>
      <c r="K16" s="41" t="n">
        <v>1.12</v>
      </c>
      <c r="L16" s="41" t="n">
        <v>1.1</v>
      </c>
      <c r="M16" s="41" t="n">
        <v>1.06</v>
      </c>
      <c r="O16" s="42" t="n">
        <f aca="false">AVERAGE(B16:M16)</f>
        <v>1</v>
      </c>
      <c r="P16" s="43" t="s">
        <v>62</v>
      </c>
    </row>
    <row r="17" customFormat="false" ht="16.5" hidden="false" customHeight="true" outlineLevel="0" collapsed="false">
      <c r="A17" s="44" t="s">
        <v>63</v>
      </c>
      <c r="B17" s="45" t="n">
        <v>0.005</v>
      </c>
      <c r="C17" s="45" t="n">
        <v>0.035</v>
      </c>
      <c r="D17" s="45" t="n">
        <v>0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5" t="n">
        <v>0.01</v>
      </c>
      <c r="K17" s="45" t="n">
        <v>0.015</v>
      </c>
      <c r="L17" s="45" t="n">
        <v>0.015</v>
      </c>
      <c r="M17" s="45" t="n">
        <v>0.005</v>
      </c>
      <c r="O17" s="46" t="n">
        <f aca="false">AVERAGE(B17:M17)</f>
        <v>0.00708333333333333</v>
      </c>
      <c r="P17" s="47" t="s">
        <v>64</v>
      </c>
    </row>
    <row r="18" customFormat="false" ht="16.5" hidden="false" customHeight="true" outlineLevel="0" collapsed="false">
      <c r="A18" s="16" t="s">
        <v>65</v>
      </c>
      <c r="B18" s="41" t="n">
        <v>1.15</v>
      </c>
      <c r="C18" s="41" t="n">
        <v>1.15</v>
      </c>
      <c r="D18" s="41" t="n">
        <v>1</v>
      </c>
      <c r="E18" s="41" t="n">
        <v>0.9</v>
      </c>
      <c r="F18" s="41" t="n">
        <v>0.95</v>
      </c>
      <c r="G18" s="41" t="n">
        <v>1.05</v>
      </c>
      <c r="H18" s="41" t="n">
        <v>1.18</v>
      </c>
      <c r="I18" s="41" t="n">
        <v>1.18</v>
      </c>
      <c r="J18" s="41" t="n">
        <v>0.95</v>
      </c>
      <c r="K18" s="41" t="n">
        <v>0.9</v>
      </c>
      <c r="L18" s="41" t="n">
        <v>1</v>
      </c>
      <c r="M18" s="41" t="n">
        <v>1.1</v>
      </c>
      <c r="O18" s="42" t="n">
        <f aca="false">AVERAGE(B18:M18)</f>
        <v>1.0425</v>
      </c>
      <c r="P18" s="43" t="s">
        <v>66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19" t="s">
        <v>67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customFormat="false" ht="18" hidden="false" customHeight="true" outlineLevel="0" collapsed="false">
      <c r="A21" s="20" t="s">
        <v>68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52</v>
      </c>
      <c r="H21" s="21" t="s">
        <v>53</v>
      </c>
      <c r="I21" s="21" t="s">
        <v>54</v>
      </c>
      <c r="J21" s="21" t="s">
        <v>55</v>
      </c>
      <c r="K21" s="21" t="s">
        <v>56</v>
      </c>
      <c r="L21" s="21" t="s">
        <v>57</v>
      </c>
      <c r="M21" s="21" t="s">
        <v>58</v>
      </c>
      <c r="N21" s="7" t="s">
        <v>69</v>
      </c>
      <c r="O21" s="7" t="s">
        <v>70</v>
      </c>
    </row>
    <row r="22" customFormat="false" ht="16.5" hidden="false" customHeight="true" outlineLevel="0" collapsed="false">
      <c r="A22" s="48" t="s">
        <v>71</v>
      </c>
      <c r="O22" s="49"/>
      <c r="P22" s="49"/>
    </row>
    <row r="23" customFormat="false" ht="16.5" hidden="false" customHeight="true" outlineLevel="0" collapsed="false">
      <c r="A23" s="11" t="s">
        <v>72</v>
      </c>
      <c r="B23" s="50" t="n">
        <f aca="false">$B$4*B$16*0.25</f>
        <v>22140</v>
      </c>
      <c r="C23" s="50" t="n">
        <f aca="false">$B$4*C$16*0.25</f>
        <v>27675</v>
      </c>
      <c r="D23" s="50" t="n">
        <f aca="false">$B$4*D$16*0.25</f>
        <v>18040</v>
      </c>
      <c r="E23" s="50" t="n">
        <f aca="false">$B$4*E$16*0.25</f>
        <v>16810</v>
      </c>
      <c r="F23" s="50" t="n">
        <f aca="false">$B$4*F$16*0.25</f>
        <v>18040</v>
      </c>
      <c r="G23" s="50" t="n">
        <f aca="false">$B$4*G$16*0.25</f>
        <v>17425</v>
      </c>
      <c r="H23" s="50" t="n">
        <f aca="false">$B$4*H$16*0.25</f>
        <v>18040</v>
      </c>
      <c r="I23" s="50" t="n">
        <f aca="false">$B$4*I$16*0.25</f>
        <v>18450</v>
      </c>
      <c r="J23" s="50" t="n">
        <f aca="false">$B$4*J$16*0.25</f>
        <v>22140</v>
      </c>
      <c r="K23" s="50" t="n">
        <f aca="false">$B$4*K$16*0.25</f>
        <v>22960</v>
      </c>
      <c r="L23" s="50" t="n">
        <f aca="false">$B$4*L$16*0.25</f>
        <v>22550</v>
      </c>
      <c r="M23" s="50" t="n">
        <f aca="false">$B$4*M$16*0.25</f>
        <v>21730</v>
      </c>
      <c r="O23" s="50" t="n">
        <f aca="false">SUM(B23:M23)</f>
        <v>246000</v>
      </c>
      <c r="P23" s="25" t="n">
        <f aca="false">IF(O26=0,0,O23/O26)</f>
        <v>0.25</v>
      </c>
    </row>
    <row r="24" customFormat="false" ht="16.5" hidden="false" customHeight="true" outlineLevel="0" collapsed="false">
      <c r="A24" s="16" t="s">
        <v>73</v>
      </c>
      <c r="B24" s="51" t="n">
        <f aca="false">$B$4*B$16*0.65</f>
        <v>57564</v>
      </c>
      <c r="C24" s="51" t="n">
        <f aca="false">$B$4*C$16*0.65</f>
        <v>71955</v>
      </c>
      <c r="D24" s="51" t="n">
        <f aca="false">$B$4*D$16*0.65</f>
        <v>46904</v>
      </c>
      <c r="E24" s="51" t="n">
        <f aca="false">$B$4*E$16*0.65</f>
        <v>43706</v>
      </c>
      <c r="F24" s="51" t="n">
        <f aca="false">$B$4*F$16*0.65</f>
        <v>46904</v>
      </c>
      <c r="G24" s="51" t="n">
        <f aca="false">$B$4*G$16*0.65</f>
        <v>45305</v>
      </c>
      <c r="H24" s="51" t="n">
        <f aca="false">$B$4*H$16*0.65</f>
        <v>46904</v>
      </c>
      <c r="I24" s="51" t="n">
        <f aca="false">$B$4*I$16*0.65</f>
        <v>47970</v>
      </c>
      <c r="J24" s="51" t="n">
        <f aca="false">$B$4*J$16*0.65</f>
        <v>57564</v>
      </c>
      <c r="K24" s="51" t="n">
        <f aca="false">$B$4*K$16*0.65</f>
        <v>59696</v>
      </c>
      <c r="L24" s="51" t="n">
        <f aca="false">$B$4*L$16*0.65</f>
        <v>58630</v>
      </c>
      <c r="M24" s="51" t="n">
        <f aca="false">$B$4*M$16*0.65</f>
        <v>56498</v>
      </c>
      <c r="O24" s="51" t="n">
        <f aca="false">SUM(B24:M24)</f>
        <v>639600</v>
      </c>
      <c r="P24" s="23" t="n">
        <f aca="false">IF(O26=0,0,O24/O26)</f>
        <v>0.65</v>
      </c>
    </row>
    <row r="25" customFormat="false" ht="16.5" hidden="false" customHeight="true" outlineLevel="0" collapsed="false">
      <c r="A25" s="11" t="s">
        <v>74</v>
      </c>
      <c r="B25" s="50" t="n">
        <f aca="false">$B$4*B$16*0.1</f>
        <v>8856</v>
      </c>
      <c r="C25" s="50" t="n">
        <f aca="false">$B$4*C$16*0.1</f>
        <v>11070</v>
      </c>
      <c r="D25" s="50" t="n">
        <f aca="false">$B$4*D$16*0.1</f>
        <v>7216</v>
      </c>
      <c r="E25" s="50" t="n">
        <f aca="false">$B$4*E$16*0.1</f>
        <v>6724</v>
      </c>
      <c r="F25" s="50" t="n">
        <f aca="false">$B$4*F$16*0.1</f>
        <v>7216</v>
      </c>
      <c r="G25" s="50" t="n">
        <f aca="false">$B$4*G$16*0.1</f>
        <v>6970</v>
      </c>
      <c r="H25" s="50" t="n">
        <f aca="false">$B$4*H$16*0.1</f>
        <v>7216</v>
      </c>
      <c r="I25" s="50" t="n">
        <f aca="false">$B$4*I$16*0.1</f>
        <v>7380</v>
      </c>
      <c r="J25" s="50" t="n">
        <f aca="false">$B$4*J$16*0.1</f>
        <v>8856</v>
      </c>
      <c r="K25" s="50" t="n">
        <f aca="false">$B$4*K$16*0.1</f>
        <v>9184</v>
      </c>
      <c r="L25" s="50" t="n">
        <f aca="false">$B$4*L$16*0.1</f>
        <v>9020</v>
      </c>
      <c r="M25" s="50" t="n">
        <f aca="false">$B$4*M$16*0.1</f>
        <v>8692</v>
      </c>
      <c r="O25" s="50" t="n">
        <f aca="false">SUM(B25:M25)</f>
        <v>98400</v>
      </c>
      <c r="P25" s="25" t="n">
        <f aca="false">IF(O26=0,0,O25/O26)</f>
        <v>0.1</v>
      </c>
    </row>
    <row r="26" customFormat="false" ht="16.5" hidden="false" customHeight="true" outlineLevel="0" collapsed="false">
      <c r="A26" s="52" t="s">
        <v>75</v>
      </c>
      <c r="B26" s="53" t="n">
        <f aca="false">B23+B24+B25</f>
        <v>88560</v>
      </c>
      <c r="C26" s="53" t="n">
        <f aca="false">C23+C24+C25</f>
        <v>110700</v>
      </c>
      <c r="D26" s="53" t="n">
        <f aca="false">D23+D24+D25</f>
        <v>72160</v>
      </c>
      <c r="E26" s="53" t="n">
        <f aca="false">E23+E24+E25</f>
        <v>67240</v>
      </c>
      <c r="F26" s="53" t="n">
        <f aca="false">F23+F24+F25</f>
        <v>72160</v>
      </c>
      <c r="G26" s="53" t="n">
        <f aca="false">G23+G24+G25</f>
        <v>69700</v>
      </c>
      <c r="H26" s="53" t="n">
        <f aca="false">H23+H24+H25</f>
        <v>72160</v>
      </c>
      <c r="I26" s="53" t="n">
        <f aca="false">I23+I24+I25</f>
        <v>73800</v>
      </c>
      <c r="J26" s="53" t="n">
        <f aca="false">J23+J24+J25</f>
        <v>88560</v>
      </c>
      <c r="K26" s="53" t="n">
        <f aca="false">K23+K24+K25</f>
        <v>91840</v>
      </c>
      <c r="L26" s="53" t="n">
        <f aca="false">L23+L24+L25</f>
        <v>90200</v>
      </c>
      <c r="M26" s="53" t="n">
        <f aca="false">M23+M24+M25</f>
        <v>86920</v>
      </c>
      <c r="O26" s="54" t="n">
        <f aca="false">SUM(B26:M26)</f>
        <v>984000</v>
      </c>
      <c r="P26" s="55" t="n">
        <f aca="false">IF(O26=0,0,O26/O26)</f>
        <v>1</v>
      </c>
    </row>
    <row r="27" customFormat="false" ht="6" hidden="false" customHeight="true" outlineLevel="0" collapsed="false"/>
    <row r="28" customFormat="false" ht="16.5" hidden="false" customHeight="true" outlineLevel="0" collapsed="false">
      <c r="A28" s="48" t="s">
        <v>76</v>
      </c>
      <c r="O28" s="49"/>
      <c r="P28" s="49"/>
    </row>
    <row r="29" customFormat="false" ht="16.5" hidden="false" customHeight="true" outlineLevel="0" collapsed="false">
      <c r="A29" s="11" t="s">
        <v>77</v>
      </c>
      <c r="B29" s="50" t="n">
        <f aca="false">B26*($B$5+B$17)</f>
        <v>29667.6</v>
      </c>
      <c r="C29" s="50" t="n">
        <f aca="false">C26*($B$5+C$17)</f>
        <v>40405.5</v>
      </c>
      <c r="D29" s="50" t="n">
        <f aca="false">D26*($B$5+D$17)</f>
        <v>23812.8</v>
      </c>
      <c r="E29" s="50" t="n">
        <f aca="false">E26*($B$5+E$17)</f>
        <v>22189.2</v>
      </c>
      <c r="F29" s="50" t="n">
        <f aca="false">F26*($B$5+F$17)</f>
        <v>23812.8</v>
      </c>
      <c r="G29" s="50" t="n">
        <f aca="false">G26*($B$5+G$17)</f>
        <v>23001</v>
      </c>
      <c r="H29" s="50" t="n">
        <f aca="false">H26*($B$5+H$17)</f>
        <v>23812.8</v>
      </c>
      <c r="I29" s="50" t="n">
        <f aca="false">I26*($B$5+I$17)</f>
        <v>24354</v>
      </c>
      <c r="J29" s="50" t="n">
        <f aca="false">J26*($B$5+J$17)</f>
        <v>30110.4</v>
      </c>
      <c r="K29" s="50" t="n">
        <f aca="false">K26*($B$5+K$17)</f>
        <v>31684.8</v>
      </c>
      <c r="L29" s="50" t="n">
        <f aca="false">L26*($B$5+L$17)</f>
        <v>31119</v>
      </c>
      <c r="M29" s="50" t="n">
        <f aca="false">M26*($B$5+M$17)</f>
        <v>29118.2</v>
      </c>
      <c r="O29" s="50" t="n">
        <f aca="false">SUM(B29:M29)</f>
        <v>333088.1</v>
      </c>
      <c r="P29" s="25" t="n">
        <f aca="false">IF(O26=0,0,O29/O26)</f>
        <v>0.338504166666667</v>
      </c>
    </row>
    <row r="30" customFormat="false" ht="16.5" hidden="false" customHeight="true" outlineLevel="0" collapsed="false">
      <c r="A30" s="16" t="s">
        <v>78</v>
      </c>
      <c r="B30" s="51" t="n">
        <f aca="false">B26*$B$6</f>
        <v>1771.2</v>
      </c>
      <c r="C30" s="51" t="n">
        <f aca="false">C26*$B$6</f>
        <v>2214</v>
      </c>
      <c r="D30" s="51" t="n">
        <f aca="false">D26*$B$6</f>
        <v>1443.2</v>
      </c>
      <c r="E30" s="51" t="n">
        <f aca="false">E26*$B$6</f>
        <v>1344.8</v>
      </c>
      <c r="F30" s="51" t="n">
        <f aca="false">F26*$B$6</f>
        <v>1443.2</v>
      </c>
      <c r="G30" s="51" t="n">
        <f aca="false">G26*$B$6</f>
        <v>1394</v>
      </c>
      <c r="H30" s="51" t="n">
        <f aca="false">H26*$B$6</f>
        <v>1443.2</v>
      </c>
      <c r="I30" s="51" t="n">
        <f aca="false">I26*$B$6</f>
        <v>1476</v>
      </c>
      <c r="J30" s="51" t="n">
        <f aca="false">J26*$B$6</f>
        <v>1771.2</v>
      </c>
      <c r="K30" s="51" t="n">
        <f aca="false">K26*$B$6</f>
        <v>1836.8</v>
      </c>
      <c r="L30" s="51" t="n">
        <f aca="false">L26*$B$6</f>
        <v>1804</v>
      </c>
      <c r="M30" s="51" t="n">
        <f aca="false">M26*$B$6</f>
        <v>1738.4</v>
      </c>
      <c r="O30" s="51" t="n">
        <f aca="false">SUM(B30:M30)</f>
        <v>19680</v>
      </c>
      <c r="P30" s="23" t="n">
        <f aca="false">IF(O26=0,0,O30/O26)</f>
        <v>0.02</v>
      </c>
    </row>
    <row r="31" customFormat="false" ht="16.5" hidden="false" customHeight="true" outlineLevel="0" collapsed="false">
      <c r="A31" s="56" t="s">
        <v>8</v>
      </c>
      <c r="B31" s="53" t="n">
        <f aca="false">B29+B30</f>
        <v>31438.8</v>
      </c>
      <c r="C31" s="53" t="n">
        <f aca="false">C29+C30</f>
        <v>42619.5</v>
      </c>
      <c r="D31" s="53" t="n">
        <f aca="false">D29+D30</f>
        <v>25256</v>
      </c>
      <c r="E31" s="53" t="n">
        <f aca="false">E29+E30</f>
        <v>23534</v>
      </c>
      <c r="F31" s="53" t="n">
        <f aca="false">F29+F30</f>
        <v>25256</v>
      </c>
      <c r="G31" s="53" t="n">
        <f aca="false">G29+G30</f>
        <v>24395</v>
      </c>
      <c r="H31" s="53" t="n">
        <f aca="false">H29+H30</f>
        <v>25256</v>
      </c>
      <c r="I31" s="53" t="n">
        <f aca="false">I29+I30</f>
        <v>25830</v>
      </c>
      <c r="J31" s="53" t="n">
        <f aca="false">J29+J30</f>
        <v>31881.6</v>
      </c>
      <c r="K31" s="53" t="n">
        <f aca="false">K29+K30</f>
        <v>33521.6</v>
      </c>
      <c r="L31" s="53" t="n">
        <f aca="false">L29+L30</f>
        <v>32923</v>
      </c>
      <c r="M31" s="53" t="n">
        <f aca="false">M29+M30</f>
        <v>30856.6</v>
      </c>
      <c r="O31" s="54" t="n">
        <f aca="false">SUM(B31:M31)</f>
        <v>352768.1</v>
      </c>
      <c r="P31" s="55" t="n">
        <f aca="false">IF(O26=0,0,O31/O26)</f>
        <v>0.358504166666667</v>
      </c>
    </row>
    <row r="32" customFormat="false" ht="6" hidden="false" customHeight="true" outlineLevel="0" collapsed="false"/>
    <row r="33" customFormat="false" ht="16.5" hidden="false" customHeight="true" outlineLevel="0" collapsed="false">
      <c r="A33" s="56" t="s">
        <v>79</v>
      </c>
      <c r="B33" s="53" t="n">
        <f aca="false">B26-B31</f>
        <v>57121.2</v>
      </c>
      <c r="C33" s="53" t="n">
        <f aca="false">C26-C31</f>
        <v>68080.5</v>
      </c>
      <c r="D33" s="53" t="n">
        <f aca="false">D26-D31</f>
        <v>46904</v>
      </c>
      <c r="E33" s="53" t="n">
        <f aca="false">E26-E31</f>
        <v>43706</v>
      </c>
      <c r="F33" s="53" t="n">
        <f aca="false">F26-F31</f>
        <v>46904</v>
      </c>
      <c r="G33" s="53" t="n">
        <f aca="false">G26-G31</f>
        <v>45305</v>
      </c>
      <c r="H33" s="53" t="n">
        <f aca="false">H26-H31</f>
        <v>46904</v>
      </c>
      <c r="I33" s="53" t="n">
        <f aca="false">I26-I31</f>
        <v>47970</v>
      </c>
      <c r="J33" s="53" t="n">
        <f aca="false">J26-J31</f>
        <v>56678.4</v>
      </c>
      <c r="K33" s="53" t="n">
        <f aca="false">K26-K31</f>
        <v>58318.4</v>
      </c>
      <c r="L33" s="53" t="n">
        <f aca="false">L26-L31</f>
        <v>57277</v>
      </c>
      <c r="M33" s="53" t="n">
        <f aca="false">M26-M31</f>
        <v>56063.4</v>
      </c>
      <c r="O33" s="54" t="n">
        <f aca="false">SUM(B33:M33)</f>
        <v>631231.9</v>
      </c>
      <c r="P33" s="55" t="n">
        <f aca="false">IF(O26=0,0,O33/O26)</f>
        <v>0.641495833333333</v>
      </c>
    </row>
    <row r="34" customFormat="false" ht="16.5" hidden="false" customHeight="true" outlineLevel="0" collapsed="false">
      <c r="A34" s="16" t="s">
        <v>10</v>
      </c>
      <c r="B34" s="23" t="n">
        <f aca="false">IF(B26=0,0,B33/B26)</f>
        <v>0.645</v>
      </c>
      <c r="C34" s="23" t="n">
        <f aca="false">IF(C26=0,0,C33/C26)</f>
        <v>0.615</v>
      </c>
      <c r="D34" s="23" t="n">
        <f aca="false">IF(D26=0,0,D33/D26)</f>
        <v>0.65</v>
      </c>
      <c r="E34" s="23" t="n">
        <f aca="false">IF(E26=0,0,E33/E26)</f>
        <v>0.65</v>
      </c>
      <c r="F34" s="23" t="n">
        <f aca="false">IF(F26=0,0,F33/F26)</f>
        <v>0.65</v>
      </c>
      <c r="G34" s="23" t="n">
        <f aca="false">IF(G26=0,0,G33/G26)</f>
        <v>0.65</v>
      </c>
      <c r="H34" s="23" t="n">
        <f aca="false">IF(H26=0,0,H33/H26)</f>
        <v>0.65</v>
      </c>
      <c r="I34" s="23" t="n">
        <f aca="false">IF(I26=0,0,I33/I26)</f>
        <v>0.65</v>
      </c>
      <c r="J34" s="23" t="n">
        <f aca="false">IF(J26=0,0,J33/J26)</f>
        <v>0.64</v>
      </c>
      <c r="K34" s="23" t="n">
        <f aca="false">IF(K26=0,0,K33/K26)</f>
        <v>0.635</v>
      </c>
      <c r="L34" s="23" t="n">
        <f aca="false">IF(L26=0,0,L33/L26)</f>
        <v>0.635</v>
      </c>
      <c r="M34" s="23" t="n">
        <f aca="false">IF(M26=0,0,M33/M26)</f>
        <v>0.645</v>
      </c>
      <c r="O34" s="23" t="n">
        <f aca="false">IF(O26=0,0,O33/O26)</f>
        <v>0.641495833333333</v>
      </c>
      <c r="P34" s="23" t="n">
        <f aca="false">IF(O26=0,0,O33/O26)</f>
        <v>0.641495833333333</v>
      </c>
    </row>
    <row r="35" customFormat="false" ht="6" hidden="false" customHeight="true" outlineLevel="0" collapsed="false"/>
    <row r="36" customFormat="false" ht="16.5" hidden="false" customHeight="true" outlineLevel="0" collapsed="false">
      <c r="A36" s="48" t="s">
        <v>80</v>
      </c>
      <c r="O36" s="49"/>
      <c r="P36" s="49"/>
    </row>
    <row r="37" customFormat="false" ht="16.5" hidden="false" customHeight="true" outlineLevel="0" collapsed="false">
      <c r="A37" s="11" t="s">
        <v>81</v>
      </c>
      <c r="B37" s="50" t="n">
        <f aca="false">B26*$B$7</f>
        <v>18597.6</v>
      </c>
      <c r="C37" s="50" t="n">
        <f aca="false">C26*$B$7</f>
        <v>23247</v>
      </c>
      <c r="D37" s="50" t="n">
        <f aca="false">D26*$B$7</f>
        <v>15153.6</v>
      </c>
      <c r="E37" s="50" t="n">
        <f aca="false">E26*$B$7</f>
        <v>14120.4</v>
      </c>
      <c r="F37" s="50" t="n">
        <f aca="false">F26*$B$7</f>
        <v>15153.6</v>
      </c>
      <c r="G37" s="50" t="n">
        <f aca="false">G26*$B$7</f>
        <v>14637</v>
      </c>
      <c r="H37" s="50" t="n">
        <f aca="false">H26*$B$7</f>
        <v>15153.6</v>
      </c>
      <c r="I37" s="50" t="n">
        <f aca="false">I26*$B$7</f>
        <v>15498</v>
      </c>
      <c r="J37" s="50" t="n">
        <f aca="false">J26*$B$7</f>
        <v>18597.6</v>
      </c>
      <c r="K37" s="50" t="n">
        <f aca="false">K26*$B$7</f>
        <v>19286.4</v>
      </c>
      <c r="L37" s="50" t="n">
        <f aca="false">L26*$B$7</f>
        <v>18942</v>
      </c>
      <c r="M37" s="50" t="n">
        <f aca="false">M26*$B$7</f>
        <v>18253.2</v>
      </c>
      <c r="O37" s="50" t="n">
        <f aca="false">SUM(B37:M37)</f>
        <v>206640</v>
      </c>
      <c r="P37" s="25" t="n">
        <f aca="false">IF(O26=0,0,O37/O26)</f>
        <v>0.21</v>
      </c>
    </row>
    <row r="38" customFormat="false" ht="16.5" hidden="false" customHeight="true" outlineLevel="0" collapsed="false">
      <c r="A38" s="16" t="s">
        <v>82</v>
      </c>
      <c r="B38" s="17" t="n">
        <f aca="false">$B$8</f>
        <v>3200</v>
      </c>
      <c r="C38" s="17" t="n">
        <f aca="false">$B$8</f>
        <v>3200</v>
      </c>
      <c r="D38" s="17" t="n">
        <f aca="false">$B$8</f>
        <v>3200</v>
      </c>
      <c r="E38" s="17" t="n">
        <f aca="false">$B$8</f>
        <v>3200</v>
      </c>
      <c r="F38" s="17" t="n">
        <f aca="false">$B$8</f>
        <v>3200</v>
      </c>
      <c r="G38" s="17" t="n">
        <f aca="false">$B$8</f>
        <v>3200</v>
      </c>
      <c r="H38" s="17" t="n">
        <f aca="false">$B$8</f>
        <v>3200</v>
      </c>
      <c r="I38" s="17" t="n">
        <f aca="false">$B$8</f>
        <v>3200</v>
      </c>
      <c r="J38" s="17" t="n">
        <f aca="false">$B$8</f>
        <v>3200</v>
      </c>
      <c r="K38" s="17" t="n">
        <f aca="false">$B$8</f>
        <v>3200</v>
      </c>
      <c r="L38" s="17" t="n">
        <f aca="false">$B$8</f>
        <v>3200</v>
      </c>
      <c r="M38" s="17" t="n">
        <f aca="false">$B$8</f>
        <v>3200</v>
      </c>
      <c r="O38" s="51" t="n">
        <f aca="false">SUM(B38:M38)</f>
        <v>38400</v>
      </c>
      <c r="P38" s="23" t="n">
        <f aca="false">IF(O26=0,0,O38/O26)</f>
        <v>0.0390243902439024</v>
      </c>
    </row>
    <row r="39" customFormat="false" ht="16.5" hidden="false" customHeight="true" outlineLevel="0" collapsed="false">
      <c r="A39" s="11" t="s">
        <v>83</v>
      </c>
      <c r="B39" s="12" t="n">
        <f aca="false">$B$9</f>
        <v>7400</v>
      </c>
      <c r="C39" s="12" t="n">
        <f aca="false">$B$9</f>
        <v>7400</v>
      </c>
      <c r="D39" s="12" t="n">
        <f aca="false">$B$9</f>
        <v>7400</v>
      </c>
      <c r="E39" s="12" t="n">
        <f aca="false">$B$9</f>
        <v>7400</v>
      </c>
      <c r="F39" s="12" t="n">
        <f aca="false">$B$9</f>
        <v>7400</v>
      </c>
      <c r="G39" s="12" t="n">
        <f aca="false">$B$9</f>
        <v>7400</v>
      </c>
      <c r="H39" s="12" t="n">
        <f aca="false">$B$9</f>
        <v>7400</v>
      </c>
      <c r="I39" s="12" t="n">
        <f aca="false">$B$9</f>
        <v>7400</v>
      </c>
      <c r="J39" s="12" t="n">
        <f aca="false">$B$9</f>
        <v>7400</v>
      </c>
      <c r="K39" s="12" t="n">
        <f aca="false">$B$9</f>
        <v>7400</v>
      </c>
      <c r="L39" s="12" t="n">
        <f aca="false">$B$9</f>
        <v>7400</v>
      </c>
      <c r="M39" s="12" t="n">
        <f aca="false">$B$9</f>
        <v>7400</v>
      </c>
      <c r="O39" s="50" t="n">
        <f aca="false">SUM(B39:M39)</f>
        <v>88800</v>
      </c>
      <c r="P39" s="25" t="n">
        <f aca="false">IF(O26=0,0,O39/O26)</f>
        <v>0.0902439024390244</v>
      </c>
    </row>
    <row r="40" customFormat="false" ht="16.5" hidden="false" customHeight="true" outlineLevel="0" collapsed="false">
      <c r="A40" s="16" t="s">
        <v>84</v>
      </c>
      <c r="B40" s="51" t="n">
        <f aca="false">$B$10*B$18</f>
        <v>1150</v>
      </c>
      <c r="C40" s="51" t="n">
        <f aca="false">$B$10*C$18</f>
        <v>1150</v>
      </c>
      <c r="D40" s="51" t="n">
        <f aca="false">$B$10*D$18</f>
        <v>1000</v>
      </c>
      <c r="E40" s="51" t="n">
        <f aca="false">$B$10*E$18</f>
        <v>900</v>
      </c>
      <c r="F40" s="51" t="n">
        <f aca="false">$B$10*F$18</f>
        <v>950</v>
      </c>
      <c r="G40" s="51" t="n">
        <f aca="false">$B$10*G$18</f>
        <v>1050</v>
      </c>
      <c r="H40" s="51" t="n">
        <f aca="false">$B$10*H$18</f>
        <v>1180</v>
      </c>
      <c r="I40" s="51" t="n">
        <f aca="false">$B$10*I$18</f>
        <v>1180</v>
      </c>
      <c r="J40" s="51" t="n">
        <f aca="false">$B$10*J$18</f>
        <v>950</v>
      </c>
      <c r="K40" s="51" t="n">
        <f aca="false">$B$10*K$18</f>
        <v>900</v>
      </c>
      <c r="L40" s="51" t="n">
        <f aca="false">$B$10*L$18</f>
        <v>1000</v>
      </c>
      <c r="M40" s="51" t="n">
        <f aca="false">$B$10*M$18</f>
        <v>1100</v>
      </c>
      <c r="O40" s="51" t="n">
        <f aca="false">SUM(B40:M40)</f>
        <v>12510</v>
      </c>
      <c r="P40" s="23" t="n">
        <f aca="false">IF(O26=0,0,O40/O26)</f>
        <v>0.0127134146341463</v>
      </c>
    </row>
    <row r="41" customFormat="false" ht="16.5" hidden="false" customHeight="true" outlineLevel="0" collapsed="false">
      <c r="A41" s="11" t="s">
        <v>85</v>
      </c>
      <c r="B41" s="50" t="n">
        <f aca="false">B26*$B$11</f>
        <v>3542.4</v>
      </c>
      <c r="C41" s="50" t="n">
        <f aca="false">C26*$B$11</f>
        <v>4428</v>
      </c>
      <c r="D41" s="50" t="n">
        <f aca="false">D26*$B$11</f>
        <v>2886.4</v>
      </c>
      <c r="E41" s="50" t="n">
        <f aca="false">E26*$B$11</f>
        <v>2689.6</v>
      </c>
      <c r="F41" s="50" t="n">
        <f aca="false">F26*$B$11</f>
        <v>2886.4</v>
      </c>
      <c r="G41" s="50" t="n">
        <f aca="false">G26*$B$11</f>
        <v>2788</v>
      </c>
      <c r="H41" s="50" t="n">
        <f aca="false">H26*$B$11</f>
        <v>2886.4</v>
      </c>
      <c r="I41" s="50" t="n">
        <f aca="false">I26*$B$11</f>
        <v>2952</v>
      </c>
      <c r="J41" s="50" t="n">
        <f aca="false">J26*$B$11</f>
        <v>3542.4</v>
      </c>
      <c r="K41" s="50" t="n">
        <f aca="false">K26*$B$11</f>
        <v>3673.6</v>
      </c>
      <c r="L41" s="50" t="n">
        <f aca="false">L26*$B$11</f>
        <v>3608</v>
      </c>
      <c r="M41" s="50" t="n">
        <f aca="false">M26*$B$11</f>
        <v>3476.8</v>
      </c>
      <c r="O41" s="50" t="n">
        <f aca="false">SUM(B41:M41)</f>
        <v>39360</v>
      </c>
      <c r="P41" s="25" t="n">
        <f aca="false">IF(O26=0,0,O41/O26)</f>
        <v>0.04</v>
      </c>
    </row>
    <row r="42" customFormat="false" ht="16.5" hidden="false" customHeight="true" outlineLevel="0" collapsed="false">
      <c r="A42" s="16" t="s">
        <v>86</v>
      </c>
      <c r="B42" s="17" t="n">
        <f aca="false">$B$12</f>
        <v>450</v>
      </c>
      <c r="C42" s="17" t="n">
        <f aca="false">$B$12</f>
        <v>450</v>
      </c>
      <c r="D42" s="17" t="n">
        <f aca="false">$B$12</f>
        <v>450</v>
      </c>
      <c r="E42" s="17" t="n">
        <f aca="false">$B$12</f>
        <v>450</v>
      </c>
      <c r="F42" s="17" t="n">
        <f aca="false">$B$12</f>
        <v>450</v>
      </c>
      <c r="G42" s="17" t="n">
        <f aca="false">$B$12</f>
        <v>450</v>
      </c>
      <c r="H42" s="17" t="n">
        <f aca="false">$B$12</f>
        <v>450</v>
      </c>
      <c r="I42" s="17" t="n">
        <f aca="false">$B$12</f>
        <v>450</v>
      </c>
      <c r="J42" s="17" t="n">
        <f aca="false">$B$12</f>
        <v>450</v>
      </c>
      <c r="K42" s="17" t="n">
        <f aca="false">$B$12</f>
        <v>450</v>
      </c>
      <c r="L42" s="17" t="n">
        <f aca="false">$B$12</f>
        <v>450</v>
      </c>
      <c r="M42" s="17" t="n">
        <f aca="false">$B$12</f>
        <v>450</v>
      </c>
      <c r="O42" s="51" t="n">
        <f aca="false">SUM(B42:M42)</f>
        <v>5400</v>
      </c>
      <c r="P42" s="23" t="n">
        <f aca="false">IF(O26=0,0,O42/O26)</f>
        <v>0.00548780487804878</v>
      </c>
    </row>
    <row r="43" customFormat="false" ht="16.5" hidden="false" customHeight="true" outlineLevel="0" collapsed="false">
      <c r="A43" s="56" t="s">
        <v>11</v>
      </c>
      <c r="B43" s="53" t="n">
        <f aca="false">B37+B38+B39+B40+B41+B42</f>
        <v>34340</v>
      </c>
      <c r="C43" s="53" t="n">
        <f aca="false">C37+C38+C39+C40+C41+C42</f>
        <v>39875</v>
      </c>
      <c r="D43" s="53" t="n">
        <f aca="false">D37+D38+D39+D40+D41+D42</f>
        <v>30090</v>
      </c>
      <c r="E43" s="53" t="n">
        <f aca="false">E37+E38+E39+E40+E41+E42</f>
        <v>28760</v>
      </c>
      <c r="F43" s="53" t="n">
        <f aca="false">F37+F38+F39+F40+F41+F42</f>
        <v>30040</v>
      </c>
      <c r="G43" s="53" t="n">
        <f aca="false">G37+G38+G39+G40+G41+G42</f>
        <v>29525</v>
      </c>
      <c r="H43" s="53" t="n">
        <f aca="false">H37+H38+H39+H40+H41+H42</f>
        <v>30270</v>
      </c>
      <c r="I43" s="53" t="n">
        <f aca="false">I37+I38+I39+I40+I41+I42</f>
        <v>30680</v>
      </c>
      <c r="J43" s="53" t="n">
        <f aca="false">J37+J38+J39+J40+J41+J42</f>
        <v>34140</v>
      </c>
      <c r="K43" s="53" t="n">
        <f aca="false">K37+K38+K39+K40+K41+K42</f>
        <v>34910</v>
      </c>
      <c r="L43" s="53" t="n">
        <f aca="false">L37+L38+L39+L40+L41+L42</f>
        <v>34600</v>
      </c>
      <c r="M43" s="53" t="n">
        <f aca="false">M37+M38+M39+M40+M41+M42</f>
        <v>33880</v>
      </c>
      <c r="O43" s="54" t="n">
        <f aca="false">SUM(B43:M43)</f>
        <v>391110</v>
      </c>
      <c r="P43" s="55" t="n">
        <f aca="false">IF(O26=0,0,O43/O26)</f>
        <v>0.397469512195122</v>
      </c>
    </row>
    <row r="44" customFormat="false" ht="6" hidden="false" customHeight="true" outlineLevel="0" collapsed="false"/>
    <row r="45" customFormat="false" ht="16.5" hidden="false" customHeight="true" outlineLevel="0" collapsed="false">
      <c r="A45" s="56" t="s">
        <v>87</v>
      </c>
      <c r="B45" s="53" t="n">
        <f aca="false">B33-B43</f>
        <v>22781.2</v>
      </c>
      <c r="C45" s="53" t="n">
        <f aca="false">C33-C43</f>
        <v>28205.5</v>
      </c>
      <c r="D45" s="53" t="n">
        <f aca="false">D33-D43</f>
        <v>16814</v>
      </c>
      <c r="E45" s="53" t="n">
        <f aca="false">E33-E43</f>
        <v>14946</v>
      </c>
      <c r="F45" s="53" t="n">
        <f aca="false">F33-F43</f>
        <v>16864</v>
      </c>
      <c r="G45" s="53" t="n">
        <f aca="false">G33-G43</f>
        <v>15780</v>
      </c>
      <c r="H45" s="53" t="n">
        <f aca="false">H33-H43</f>
        <v>16634</v>
      </c>
      <c r="I45" s="53" t="n">
        <f aca="false">I33-I43</f>
        <v>17290</v>
      </c>
      <c r="J45" s="53" t="n">
        <f aca="false">J33-J43</f>
        <v>22538.4</v>
      </c>
      <c r="K45" s="53" t="n">
        <f aca="false">K33-K43</f>
        <v>23408.4</v>
      </c>
      <c r="L45" s="53" t="n">
        <f aca="false">L33-L43</f>
        <v>22677</v>
      </c>
      <c r="M45" s="53" t="n">
        <f aca="false">M33-M43</f>
        <v>22183.4</v>
      </c>
      <c r="O45" s="54" t="n">
        <f aca="false">SUM(B45:M45)</f>
        <v>240121.9</v>
      </c>
      <c r="P45" s="55" t="n">
        <f aca="false">IF(O26=0,0,O45/O26)</f>
        <v>0.244026321138211</v>
      </c>
    </row>
    <row r="46" customFormat="false" ht="16.5" hidden="false" customHeight="true" outlineLevel="0" collapsed="false">
      <c r="A46" s="16" t="s">
        <v>88</v>
      </c>
      <c r="B46" s="23" t="n">
        <f aca="false">IF(B26=0,0,B45/B26)</f>
        <v>0.257240289069557</v>
      </c>
      <c r="C46" s="23" t="n">
        <f aca="false">IF(C26=0,0,C45/C26)</f>
        <v>0.254792231255646</v>
      </c>
      <c r="D46" s="23" t="n">
        <f aca="false">IF(D26=0,0,D45/D26)</f>
        <v>0.233009977827051</v>
      </c>
      <c r="E46" s="23" t="n">
        <f aca="false">IF(E26=0,0,E45/E26)</f>
        <v>0.222278405710886</v>
      </c>
      <c r="F46" s="23" t="n">
        <f aca="false">IF(F26=0,0,F45/F26)</f>
        <v>0.23370288248337</v>
      </c>
      <c r="G46" s="23" t="n">
        <f aca="false">IF(G26=0,0,G45/G26)</f>
        <v>0.226398852223816</v>
      </c>
      <c r="H46" s="23" t="n">
        <f aca="false">IF(H26=0,0,H45/H26)</f>
        <v>0.230515521064302</v>
      </c>
      <c r="I46" s="23" t="n">
        <f aca="false">IF(I26=0,0,I45/I26)</f>
        <v>0.234281842818428</v>
      </c>
      <c r="J46" s="23" t="n">
        <f aca="false">IF(J26=0,0,J45/J26)</f>
        <v>0.25449864498645</v>
      </c>
      <c r="K46" s="23" t="n">
        <f aca="false">IF(K26=0,0,K45/K26)</f>
        <v>0.254882404181185</v>
      </c>
      <c r="L46" s="23" t="n">
        <f aca="false">IF(L26=0,0,L45/L26)</f>
        <v>0.251407982261641</v>
      </c>
      <c r="M46" s="23" t="n">
        <f aca="false">IF(M26=0,0,M45/M26)</f>
        <v>0.255216290842154</v>
      </c>
      <c r="O46" s="23" t="n">
        <f aca="false">IF(O26=0,0,O45/O26)</f>
        <v>0.244026321138211</v>
      </c>
      <c r="P46" s="23" t="n">
        <f aca="false">IF(O26=0,0,O45/O26)</f>
        <v>0.244026321138211</v>
      </c>
    </row>
  </sheetData>
  <mergeCells count="5">
    <mergeCell ref="A1:P1"/>
    <mergeCell ref="A2:P2"/>
    <mergeCell ref="A3:P3"/>
    <mergeCell ref="A14:P14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2026-03-17T19:46:36Z</dcterms:created>
  <dc:creator>openpyxl</dc:creator>
  <dc:description/>
  <dc:language>en-US</dc:language>
  <cp:lastModifiedBy/>
  <dcterms:modified xsi:type="dcterms:W3CDTF">2026-03-17T19:46:36Z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